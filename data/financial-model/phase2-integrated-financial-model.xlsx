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0096c82b41148b2" /></Relationships>
</file>

<file path=xl/workbook.xml><?xml version="1.0" encoding="utf-8"?>
<x:workbook xmlns:x="http://schemas.openxmlformats.org/spreadsheetml/2006/main">
  <x:sheets>
    <x:sheet xmlns:r="http://schemas.openxmlformats.org/officeDocument/2006/relationships" name="Cover" sheetId="1" r:id="Rc38c06ac11154489"/>
    <x:sheet xmlns:r="http://schemas.openxmlformats.org/officeDocument/2006/relationships" name="Assumptions" sheetId="2" r:id="R0dee0c8e41b14125"/>
    <x:sheet xmlns:r="http://schemas.openxmlformats.org/officeDocument/2006/relationships" name="Scenario Summary" sheetId="3" r:id="R7b6fd8efe28e4d29"/>
    <x:sheet xmlns:r="http://schemas.openxmlformats.org/officeDocument/2006/relationships" name="CAPEX &amp; Funding" sheetId="4" r:id="R3ebf1be112c441bc"/>
    <x:sheet xmlns:r="http://schemas.openxmlformats.org/officeDocument/2006/relationships" name="Monthly Model" sheetId="5" r:id="Rf732e1689a254ed8"/>
    <x:sheet xmlns:r="http://schemas.openxmlformats.org/officeDocument/2006/relationships" name="Debt Schedule" sheetId="6" r:id="R19fe37abce0f4789"/>
    <x:sheet xmlns:r="http://schemas.openxmlformats.org/officeDocument/2006/relationships" name="GO-NO-GO Gates" sheetId="7" r:id="R71fbadd8c8ac43da"/>
    <x:sheet xmlns:r="http://schemas.openxmlformats.org/officeDocument/2006/relationships" name="Checks" sheetId="8" r:id="Rb185133509234978"/>
    <x:sheet xmlns:r="http://schemas.openxmlformats.org/officeDocument/2006/relationships" name="Sources" sheetId="9" r:id="R10577b5c71ee4eda"/>
  </x:sheets>
</x:workbook>
</file>

<file path=xl/comments1.xml><?xml version="1.0" encoding="utf-8"?>
<x:comments xmlns:x="http://schemas.openxmlformats.org/spreadsheetml/2006/main">
  <x:authors>
    <x:author>tc={0935FEC7-A53F-4B56-AE36-D250F1A1984E}</x:author>
    <x:author>tc={C6BA14F1-2F5F-5AA8-CA04-27746D8F03FC}</x:author>
    <x:author>tc={28FCC705-FF28-1CAF-97ED-AB047B88DCA5}</x:author>
    <x:author>tc={F1DE6C20-FD27-B2A6-2251-97E9EAFE619F}</x:author>
    <x:author>tc={6D2056DD-2522-6A13-A58F-E561E0779C41}</x:author>
  </x:authors>
  <x:commentList>
    <x:comment ref="D9" authorId="0">
      <x:text>
        <x:r>
          <x:t>[Threaded comment]
Your version of Excel allows you to read this threaded comment; however, any edits to it will get removed if the file is opened in a newer version of Excel. Learn more: https://go.microsoft.com/fwlink/?linkid=870924
Comment:
    Source benchmark only: NDDB minimum raw milk price page. Replace with a written buyer formula covering fat, SNF, deductions, pickup and payment days.</x:t>
        </x:r>
      </x:text>
    </x:comment>
    <x:comment ref="D20" authorId="1">
      <x:text>
        <x:r>
          <x:t>[Threaded comment]
Your version of Excel allows you to read this threaded comment; however, any edits to it will get removed if the file is opened in a newer version of Excel. Learn more: https://go.microsoft.com/fwlink/?linkid=870924
Comment:
    Insurance value benchmark from Lumbini Agriculture Diary 2083. Actual insurer valuation and policy wording control.</x:t>
        </x:r>
      </x:text>
    </x:comment>
    <x:comment ref="D22" authorId="2">
      <x:text>
        <x:r>
          <x:t>[Threaded comment]
Your version of Excel allows you to read this threaded comment; however, any edits to it will get removed if the file is opened in a newer version of Excel. Learn more: https://go.microsoft.com/fwlink/?linkid=870924
Comment:
    2082 crop/livestock premium procedure: 80% up to NPR 50 lakh insured value, 65% from NPR 50 lakh to 1 crore, 50% above NPR 1 crore. Confirm at binding.</x:t>
        </x:r>
      </x:text>
    </x:comment>
    <x:comment ref="D24" authorId="3">
      <x:text>
        <x:r>
          <x:t>[Threaded comment]
Your version of Excel allows you to read this threaded comment; however, any edits to it will get removed if the file is opened in a newer version of Excel. Learn more: https://go.microsoft.com/fwlink/?linkid=870924
Comment:
    ADBL published base rate at Ashadh-end 2083 was 4.56%. Its Shrawan 2083 agriculture term premium is up to 2.5%; a specific sanction letter may differ.</x:t>
        </x:r>
      </x:text>
    </x:comment>
    <x:comment ref="E25" authorId="4">
      <x:text>
        <x:r>
          <x:t>[Threaded comment]
Your version of Excel allows you to read this threaded comment; however, any edits to it will get removed if the file is opened in a newer version of Excel. Learn more: https://go.microsoft.com/fwlink/?linkid=870924
Comment:
    NRB first-amended 2082 concessional-loan procedure provides a 3% interest subsidy for eligible loans, up to five years. Excluded from Base/Downside viability.</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Red](#,##0);-"/>
    <x:numFmt numFmtId="202" formatCode="0.0;[Red](0.0);-"/>
    <x:numFmt numFmtId="203" formatCode="0.00x"/>
    <x:numFmt numFmtId="204" formatCode="0.0%;[Red](0.0%);-"/>
  </x:numFmts>
  <x:fonts count="32">
    <x:font>
      <x:sz val="11"/>
      <x:name val="Carlito"/>
    </x:font>
    <x:font>
      <x:b/>
      <x:sz val="16"/>
      <x:color rgb="FFFFFFFF"/>
      <x:name val="Carlito"/>
    </x:font>
    <x:font>
      <x:b/>
      <x:sz val="11"/>
      <x:color rgb="FF17324D"/>
      <x:name val="Carlito"/>
    </x:font>
    <x:font>
      <x:b/>
      <x:sz val="11"/>
      <x:color rgb="FFFFFFFF"/>
      <x:name val="Carlito"/>
    </x:font>
    <x:font>
      <x:b/>
      <x:sz val="11"/>
      <x:color rgb="FFB42318"/>
      <x:name val="Carlito"/>
    </x:font>
    <x:font>
      <x:sz val="11"/>
      <x:color rgb="FF008000"/>
      <x:name val="Carlito"/>
    </x:font>
    <x:font>
      <x:b/>
      <x:sz val="11"/>
      <x:name val="Carlito"/>
    </x:font>
    <x:font>
      <x:sz val="11"/>
      <x:color rgb="FF667085"/>
      <x:name val="Carlito"/>
    </x:font>
    <x:font>
      <x:sz val="11"/>
      <x:color rgb="FF0000FF"/>
      <x:name val="Carlito"/>
    </x:font>
    <x:font>
      <x:sz val="11"/>
      <x:color rgb="FF000000"/>
      <x:name val="Carlito"/>
    </x:font>
    <x:font>
      <x:b/>
      <x:sz val="11"/>
      <x:color rgb="FF000000"/>
      <x:name val="Carlito"/>
    </x:font>
    <x:font>
      <x:b/>
      <x:sz val="16"/>
      <x:color rgb="FFFFFFFF"/>
      <x:name val="Aptos"/>
    </x:font>
    <x:font>
      <x:sz val="11"/>
      <x:name val="Aptos"/>
    </x:font>
    <x:font>
      <x:b/>
      <x:sz val="11"/>
      <x:color rgb="FF17324D"/>
      <x:name val="Aptos"/>
    </x:font>
    <x:font>
      <x:b/>
      <x:sz val="11"/>
      <x:color rgb="FFFFFFFF"/>
      <x:name val="Aptos"/>
    </x:font>
    <x:font>
      <x:b/>
      <x:sz val="11"/>
      <x:name val="Aptos"/>
    </x:font>
    <x:font>
      <x:b/>
      <x:sz val="11"/>
      <x:color rgb="FFB42318"/>
      <x:name val="Aptos"/>
    </x:font>
    <x:font>
      <x:sz val="11"/>
      <x:color rgb="FF008000"/>
      <x:name val="Aptos"/>
    </x:font>
    <x:font>
      <x:sz val="11"/>
      <x:color rgb="FF667085"/>
      <x:name val="Aptos"/>
    </x:font>
    <x:font>
      <x:b/>
      <x:sz val="10"/>
      <x:color rgb="FFFFFFFF"/>
      <x:name val="Aptos"/>
    </x:font>
    <x:font>
      <x:sz val="10"/>
      <x:name val="Aptos"/>
    </x:font>
    <x:font>
      <x:b/>
      <x:sz val="10"/>
      <x:color rgb="FF17324D"/>
      <x:name val="Aptos"/>
    </x:font>
    <x:font>
      <x:b/>
      <x:sz val="10"/>
      <x:name val="Aptos"/>
    </x:font>
    <x:font>
      <x:b/>
      <x:sz val="10"/>
      <x:color rgb="FFB42318"/>
      <x:name val="Aptos"/>
    </x:font>
    <x:font>
      <x:sz val="10"/>
      <x:color rgb="FF008000"/>
      <x:name val="Aptos"/>
    </x:font>
    <x:font>
      <x:sz val="10"/>
      <x:color rgb="FF667085"/>
      <x:name val="Aptos"/>
    </x:font>
    <x:font>
      <x:sz val="11"/>
      <x:color rgb="FF0000FF"/>
      <x:name val="Aptos"/>
    </x:font>
    <x:font>
      <x:sz val="10"/>
      <x:color rgb="FF0000FF"/>
      <x:name val="Aptos"/>
    </x:font>
    <x:font>
      <x:sz val="11"/>
      <x:color rgb="FF000000"/>
      <x:name val="Aptos"/>
    </x:font>
    <x:font>
      <x:b/>
      <x:sz val="11"/>
      <x:color rgb="FF000000"/>
      <x:name val="Aptos"/>
    </x:font>
    <x:font>
      <x:sz val="10"/>
      <x:color rgb="FF000000"/>
      <x:name val="Aptos"/>
    </x:font>
    <x:font>
      <x:b/>
      <x:sz val="10"/>
      <x:color rgb="FF000000"/>
      <x:name val="Aptos"/>
    </x:font>
  </x:fonts>
  <x:fills count="10">
    <x:fill>
      <x:patternFill patternType="none"/>
    </x:fill>
    <x:fill>
      <x:patternFill patternType="gray125"/>
    </x:fill>
    <x:fill>
      <x:patternFill patternType="solid">
        <x:fgColor rgb="FF17324D"/>
      </x:patternFill>
    </x:fill>
    <x:fill>
      <x:patternFill patternType="solid">
        <x:fgColor rgb="FF0F766E"/>
      </x:patternFill>
    </x:fill>
    <x:fill>
      <x:patternFill patternType="solid">
        <x:fgColor rgb="FFFDECEC"/>
      </x:patternFill>
    </x:fill>
    <x:fill>
      <x:patternFill patternType="solid">
        <x:fgColor rgb="FFFFF4CC"/>
      </x:patternFill>
    </x:fill>
    <x:fill>
      <x:patternFill patternType="solid">
        <x:fgColor rgb="FFF2F4F7"/>
      </x:patternFill>
    </x:fill>
    <x:fill>
      <x:patternFill patternType="solid">
        <x:fgColor rgb="FFEAF2F8"/>
      </x:patternFill>
    </x:fill>
    <x:fill>
      <x:patternFill patternType="solid">
        <x:fgColor rgb="FFE7F5F2"/>
      </x:patternFill>
    </x:fill>
    <x:fill>
      <x:patternFill patternType="solid">
        <x:fgColor rgb="FFEAF6EC"/>
      </x:patternFill>
    </x:fill>
  </x:fills>
  <x:borders count="4">
    <x:border/>
    <x:border>
      <x:left style="thin">
        <x:color rgb="FFAAB7C4"/>
      </x:left>
      <x:top style="thin">
        <x:color rgb="FFAAB7C4"/>
      </x:top>
      <x:bottom style="thin">
        <x:color rgb="FFAAB7C4"/>
      </x:bottom>
    </x:border>
    <x:border>
      <x:top style="thin">
        <x:color rgb="FFAAB7C4"/>
      </x:top>
      <x:bottom style="thin">
        <x:color rgb="FFAAB7C4"/>
      </x:bottom>
    </x:border>
    <x:border>
      <x:right style="thin">
        <x:color rgb="FFAAB7C4"/>
      </x:right>
      <x:top style="thin">
        <x:color rgb="FFAAB7C4"/>
      </x:top>
      <x:bottom style="thin">
        <x:color rgb="FFAAB7C4"/>
      </x:bottom>
    </x:border>
  </x:borders>
  <x:cellStyleXfs count="1">
    <x:xf numFmtId="0" fontId="0" fillId="0" borderId="0"/>
  </x:cellStyleXfs>
  <x:cellXfs count="2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200"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203" fontId="5" fillId="0" borderId="0" xfId="0" applyNumberFormat="1" applyFont="1" applyFill="1" applyBorder="1"/>
    <x:xf numFmtId="0" fontId="6" fillId="0"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2" fillId="7" borderId="2" xfId="0" applyNumberFormat="1" applyFont="1" applyFill="1" applyBorder="1"/>
    <x:xf numFmtId="0" fontId="2" fillId="7" borderId="3" xfId="0" applyNumberFormat="1" applyFont="1" applyFill="1" applyBorder="1"/>
    <x:xf numFmtId="0" fontId="2" fillId="7" borderId="1" xfId="0" applyNumberFormat="1" applyFont="1" applyFill="1" applyBorder="1" applyAlignment="1">
      <x:alignment wrapText="1"/>
    </x:xf>
    <x:xf numFmtId="0" fontId="2" fillId="7" borderId="2" xfId="0" applyNumberFormat="1" applyFont="1" applyFill="1" applyBorder="1" applyAlignment="1">
      <x:alignment wrapText="1"/>
    </x:xf>
    <x:xf numFmtId="0" fontId="2" fillId="7" borderId="3" xfId="0" applyNumberFormat="1" applyFont="1" applyFill="1" applyBorder="1" applyAlignment="1">
      <x:alignment wrapText="1"/>
    </x:xf>
    <x:xf numFmtId="0" fontId="8" fillId="0" borderId="0" xfId="0" applyNumberFormat="1" applyFont="1" applyFill="1" applyBorder="1"/>
    <x:xf numFmtId="204" fontId="8" fillId="0" borderId="0" xfId="0" applyNumberFormat="1" applyFont="1" applyFill="1" applyBorder="1"/>
    <x:xf numFmtId="202" fontId="8" fillId="0" borderId="0" xfId="0" applyNumberFormat="1" applyFont="1" applyFill="1" applyBorder="1"/>
    <x:xf numFmtId="0" fontId="8" fillId="0" borderId="0" xfId="0" applyNumberFormat="1" applyFont="1" applyFill="1" applyBorder="1" applyAlignment="1">
      <x:alignment horizontal="right"/>
    </x:xf>
    <x:xf numFmtId="204" fontId="8" fillId="0" borderId="0" xfId="0" applyNumberFormat="1" applyFont="1" applyFill="1" applyBorder="1" applyAlignment="1">
      <x:alignment horizontal="right"/>
    </x:xf>
    <x:xf numFmtId="202" fontId="8" fillId="0" borderId="0" xfId="0" applyNumberFormat="1" applyFont="1" applyFill="1" applyBorder="1" applyAlignment="1">
      <x:alignment horizontal="right"/>
    </x:xf>
    <x:xf numFmtId="0" fontId="8" fillId="0" borderId="0" xfId="0" applyNumberFormat="1" applyFont="1" applyFill="1" applyBorder="1" applyAlignment="1">
      <x:alignment horizontal="right" wrapText="1"/>
    </x:xf>
    <x:xf numFmtId="204" fontId="8" fillId="0" borderId="0" xfId="0" applyNumberFormat="1" applyFont="1" applyFill="1" applyBorder="1" applyAlignment="1">
      <x:alignment horizontal="right" wrapText="1"/>
    </x:xf>
    <x:xf numFmtId="202" fontId="8" fillId="0" borderId="0" xfId="0" applyNumberFormat="1" applyFont="1" applyFill="1" applyBorder="1" applyAlignment="1">
      <x:alignment horizontal="right" wrapText="1"/>
    </x:xf>
    <x:xf numFmtId="0" fontId="8" fillId="5" borderId="0" xfId="0" applyNumberFormat="1" applyFont="1" applyFill="1" applyBorder="1" applyAlignment="1">
      <x:alignment horizontal="right" wrapText="1"/>
    </x:xf>
    <x:xf numFmtId="202" fontId="8" fillId="5" borderId="0" xfId="0" applyNumberFormat="1" applyFont="1" applyFill="1" applyBorder="1" applyAlignment="1">
      <x:alignment horizontal="right" wrapText="1"/>
    </x:xf>
    <x:xf numFmtId="204" fontId="8" fillId="5" borderId="0" xfId="0" applyNumberFormat="1" applyFont="1" applyFill="1" applyBorder="1" applyAlignment="1">
      <x:alignment horizontal="right" wrapText="1"/>
    </x:xf>
    <x:xf numFmtId="0" fontId="9" fillId="0" borderId="0" xfId="0" applyNumberFormat="1" applyFont="1" applyFill="1" applyBorder="1"/>
    <x:xf numFmtId="0" fontId="9" fillId="5" borderId="0" xfId="0" applyNumberFormat="1" applyFont="1" applyFill="1" applyBorder="1"/>
    <x:xf numFmtId="0" fontId="8" fillId="5" borderId="0" xfId="0" applyNumberFormat="1" applyFont="1" applyFill="1" applyBorder="1"/>
    <x:xf numFmtId="201" fontId="8" fillId="0" borderId="0" xfId="0" applyNumberFormat="1" applyFont="1" applyFill="1" applyBorder="1"/>
    <x:xf numFmtId="201" fontId="9" fillId="0" borderId="0" xfId="0" applyNumberFormat="1" applyFont="1" applyFill="1" applyBorder="1"/>
    <x:xf numFmtId="201" fontId="0" fillId="0" borderId="0" xfId="0" applyNumberFormat="1" applyFont="1" applyFill="1" applyBorder="1"/>
    <x:xf numFmtId="201" fontId="8" fillId="5" borderId="0" xfId="0" applyNumberFormat="1" applyFont="1" applyFill="1" applyBorder="1"/>
    <x:xf numFmtId="201" fontId="6" fillId="0" borderId="0" xfId="0" applyNumberFormat="1" applyFont="1" applyFill="1" applyBorder="1"/>
    <x:xf numFmtId="201" fontId="10" fillId="0" borderId="0" xfId="0" applyNumberFormat="1" applyFont="1" applyFill="1" applyBorder="1"/>
    <x:xf numFmtId="0" fontId="6" fillId="8" borderId="0" xfId="0" applyNumberFormat="1" applyFont="1" applyFill="1" applyBorder="1"/>
    <x:xf numFmtId="201" fontId="6" fillId="8" borderId="0" xfId="0" applyNumberFormat="1" applyFont="1" applyFill="1" applyBorder="1"/>
    <x:xf numFmtId="201" fontId="10" fillId="8" borderId="0" xfId="0" applyNumberFormat="1" applyFont="1" applyFill="1" applyBorder="1"/>
    <x:xf numFmtId="201" fontId="8" fillId="0" borderId="0" xfId="0" applyNumberFormat="1" applyFont="1" applyFill="1" applyBorder="1" applyAlignment="1">
      <x:alignment wrapText="1"/>
    </x:xf>
    <x:xf numFmtId="201" fontId="9" fillId="0" borderId="0" xfId="0" applyNumberFormat="1" applyFont="1" applyFill="1" applyBorder="1" applyAlignment="1">
      <x:alignment wrapText="1"/>
    </x:xf>
    <x:xf numFmtId="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1" fontId="10" fillId="0" borderId="0" xfId="0" applyNumberFormat="1" applyFont="1" applyFill="1" applyBorder="1" applyAlignment="1">
      <x:alignment wrapText="1"/>
    </x:xf>
    <x:xf numFmtId="201" fontId="0" fillId="0" borderId="0" xfId="0" applyNumberFormat="1" applyFont="1" applyFill="1" applyBorder="1" applyAlignment="1">
      <x:alignment wrapText="1"/>
    </x:xf>
    <x:xf numFmtId="201" fontId="8" fillId="5" borderId="0" xfId="0" applyNumberFormat="1" applyFont="1" applyFill="1" applyBorder="1" applyAlignment="1">
      <x:alignment wrapText="1"/>
    </x:xf>
    <x:xf numFmtId="0" fontId="6" fillId="8" borderId="0" xfId="0" applyNumberFormat="1" applyFont="1" applyFill="1" applyBorder="1" applyAlignment="1">
      <x:alignment wrapText="1"/>
    </x:xf>
    <x:xf numFmtId="201" fontId="6" fillId="8" borderId="0" xfId="0" applyNumberFormat="1" applyFont="1" applyFill="1" applyBorder="1" applyAlignment="1">
      <x:alignment wrapText="1"/>
    </x:xf>
    <x:xf numFmtId="201" fontId="10" fillId="8" borderId="0" xfId="0" applyNumberFormat="1" applyFont="1" applyFill="1" applyBorder="1" applyAlignment="1">
      <x:alignment wrapText="1"/>
    </x:xf>
    <x:xf numFmtId="204" fontId="9" fillId="0" borderId="0" xfId="0" applyNumberFormat="1" applyFont="1" applyFill="1" applyBorder="1"/>
    <x:xf numFmtId="203" fontId="9" fillId="0" borderId="0" xfId="0" applyNumberFormat="1" applyFont="1" applyFill="1" applyBorder="1"/>
    <x:xf numFmtId="202" fontId="9" fillId="0" borderId="0" xfId="0" applyNumberFormat="1" applyFont="1" applyFill="1" applyBorder="1"/>
    <x:xf numFmtId="203" fontId="10" fillId="0" borderId="0" xfId="0" applyNumberFormat="1" applyFont="1" applyFill="1" applyBorder="1"/>
    <x:xf numFmtId="0" fontId="10" fillId="0" borderId="0" xfId="0" applyNumberFormat="1" applyFont="1" applyFill="1" applyBorder="1"/>
    <x:xf numFmtId="0" fontId="9" fillId="0" borderId="0" xfId="0" applyNumberFormat="1" applyFont="1" applyFill="1" applyBorder="1" applyAlignment="1">
      <x:alignment wrapText="1"/>
    </x:xf>
    <x:xf numFmtId="202" fontId="9" fillId="0" borderId="0" xfId="0" applyNumberFormat="1" applyFont="1" applyFill="1" applyBorder="1" applyAlignment="1">
      <x:alignment wrapText="1"/>
    </x:xf>
    <x:xf numFmtId="204" fontId="9" fillId="0" borderId="0" xfId="0" applyNumberFormat="1" applyFont="1" applyFill="1" applyBorder="1" applyAlignment="1">
      <x:alignment wrapText="1"/>
    </x:xf>
    <x:xf numFmtId="203" fontId="10" fillId="0" borderId="0" xfId="0" applyNumberFormat="1" applyFont="1" applyFill="1" applyBorder="1" applyAlignment="1">
      <x:alignment wrapText="1"/>
    </x:xf>
    <x:xf numFmtId="0" fontId="10" fillId="0" borderId="0" xfId="0" applyNumberFormat="1" applyFont="1" applyFill="1" applyBorder="1" applyAlignment="1">
      <x:alignment wrapText="1"/>
    </x:xf>
    <x:xf numFmtId="204" fontId="8" fillId="5" borderId="0" xfId="0" applyNumberFormat="1" applyFont="1" applyFill="1" applyBorder="1"/>
    <x:xf numFmtId="204" fontId="0" fillId="0" borderId="0" xfId="0" applyNumberFormat="1" applyFont="1" applyFill="1" applyBorder="1"/>
    <x:xf numFmtId="0" fontId="6" fillId="9" borderId="0" xfId="0" applyNumberFormat="1" applyFont="1" applyFill="1" applyBorder="1"/>
    <x:xf numFmtId="0" fontId="6" fillId="4" borderId="0" xfId="0" applyNumberFormat="1" applyFont="1" applyFill="1" applyBorder="1"/>
    <x:xf numFmtId="203" fontId="0" fillId="0" borderId="0" xfId="0" applyNumberFormat="1" applyFont="1" applyFill="1" applyBorder="1"/>
    <x:xf numFmtId="203" fontId="0" fillId="0" borderId="0" xfId="0" applyNumberFormat="1" applyFont="1" applyFill="1" applyBorder="1" applyAlignment="1">
      <x:alignment wrapText="1"/>
    </x:xf>
    <x:xf numFmtId="0" fontId="6" fillId="9" borderId="0" xfId="0" applyNumberFormat="1" applyFont="1" applyFill="1" applyBorder="1" applyAlignment="1">
      <x:alignment wrapText="1"/>
    </x:xf>
    <x:xf numFmtId="0" fontId="6" fillId="4" borderId="0" xfId="0" applyNumberFormat="1" applyFont="1" applyFill="1" applyBorder="1" applyAlignment="1">
      <x:alignment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3" borderId="0" xfId="0" applyNumberFormat="1" applyFont="1" applyFill="1" applyBorder="1" applyAlignment="1">
      <x:alignment vertical="top"/>
    </x:xf>
    <x:xf numFmtId="0" fontId="6" fillId="0" borderId="0" xfId="0" applyNumberFormat="1" applyFont="1" applyFill="1" applyBorder="1" applyAlignment="1">
      <x:alignment vertical="top"/>
    </x:xf>
    <x:xf numFmtId="0" fontId="4" fillId="4" borderId="0" xfId="0" applyNumberFormat="1" applyFont="1" applyFill="1" applyBorder="1" applyAlignment="1">
      <x:alignment vertical="top"/>
    </x:xf>
    <x:xf numFmtId="0" fontId="5" fillId="0" borderId="0" xfId="0" applyNumberFormat="1" applyFont="1" applyFill="1" applyBorder="1" applyAlignment="1">
      <x:alignment vertical="top"/>
    </x:xf>
    <x:xf numFmtId="201" fontId="5" fillId="0" borderId="0" xfId="0" applyNumberFormat="1" applyFont="1" applyFill="1" applyBorder="1" applyAlignment="1">
      <x:alignment vertical="top"/>
    </x:xf>
    <x:xf numFmtId="202" fontId="5" fillId="0" borderId="0" xfId="0" applyNumberFormat="1" applyFont="1" applyFill="1" applyBorder="1" applyAlignment="1">
      <x:alignment vertical="top"/>
    </x:xf>
    <x:xf numFmtId="203" fontId="5" fillId="0" borderId="0" xfId="0" applyNumberFormat="1" applyFont="1" applyFill="1" applyBorder="1" applyAlignment="1">
      <x:alignment vertical="top"/>
    </x:xf>
    <x:xf numFmtId="0" fontId="7" fillId="6" borderId="0" xfId="0" applyNumberFormat="1" applyFont="1" applyFill="1" applyBorder="1" applyAlignment="1">
      <x:alignment vertical="top" wrapText="1"/>
    </x:xf>
    <x:xf numFmtId="0" fontId="11" fillId="2" borderId="0" xfId="0" applyNumberFormat="1" applyFont="1" applyFill="1" applyBorder="1" applyAlignment="1">
      <x:alignment vertical="top"/>
    </x:xf>
    <x:xf numFmtId="0" fontId="12" fillId="0" borderId="0" xfId="0" applyNumberFormat="1" applyFont="1" applyFill="1" applyBorder="1" applyAlignment="1">
      <x:alignment vertical="top"/>
    </x:xf>
    <x:xf numFmtId="0" fontId="13" fillId="0" borderId="0" xfId="0" applyNumberFormat="1" applyFont="1" applyFill="1" applyBorder="1" applyAlignment="1">
      <x:alignment vertical="top" wrapText="1"/>
    </x:xf>
    <x:xf numFmtId="200" fontId="12"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4" fillId="3" borderId="0" xfId="0" applyNumberFormat="1" applyFont="1" applyFill="1" applyBorder="1" applyAlignment="1">
      <x:alignment vertical="top"/>
    </x:xf>
    <x:xf numFmtId="0" fontId="15" fillId="0" borderId="0" xfId="0" applyNumberFormat="1" applyFont="1" applyFill="1" applyBorder="1" applyAlignment="1">
      <x:alignment vertical="top"/>
    </x:xf>
    <x:xf numFmtId="0" fontId="16" fillId="4" borderId="0" xfId="0" applyNumberFormat="1" applyFont="1" applyFill="1" applyBorder="1" applyAlignment="1">
      <x:alignment vertical="top"/>
    </x:xf>
    <x:xf numFmtId="0" fontId="17" fillId="0" borderId="0" xfId="0" applyNumberFormat="1" applyFont="1" applyFill="1" applyBorder="1" applyAlignment="1">
      <x:alignment vertical="top"/>
    </x:xf>
    <x:xf numFmtId="201" fontId="17" fillId="0" borderId="0" xfId="0" applyNumberFormat="1" applyFont="1" applyFill="1" applyBorder="1" applyAlignment="1">
      <x:alignment vertical="top"/>
    </x:xf>
    <x:xf numFmtId="202" fontId="17" fillId="0" borderId="0" xfId="0" applyNumberFormat="1" applyFont="1" applyFill="1" applyBorder="1" applyAlignment="1">
      <x:alignment vertical="top"/>
    </x:xf>
    <x:xf numFmtId="203" fontId="17" fillId="0" borderId="0" xfId="0" applyNumberFormat="1" applyFont="1" applyFill="1" applyBorder="1" applyAlignment="1">
      <x:alignment vertical="top"/>
    </x:xf>
    <x:xf numFmtId="0" fontId="12" fillId="5" borderId="0" xfId="0" applyNumberFormat="1" applyFont="1" applyFill="1" applyBorder="1" applyAlignment="1">
      <x:alignment vertical="top" wrapText="1"/>
    </x:xf>
    <x:xf numFmtId="0" fontId="18" fillId="6" borderId="0" xfId="0" applyNumberFormat="1" applyFont="1" applyFill="1" applyBorder="1" applyAlignment="1">
      <x:alignment vertical="top" wrapText="1"/>
    </x:xf>
    <x:xf numFmtId="0" fontId="19" fillId="2" borderId="0" xfId="0" applyNumberFormat="1" applyFont="1" applyFill="1" applyBorder="1" applyAlignment="1">
      <x:alignment vertical="top"/>
    </x:xf>
    <x:xf numFmtId="0" fontId="20" fillId="0" borderId="0" xfId="0" applyNumberFormat="1" applyFont="1" applyFill="1" applyBorder="1" applyAlignment="1">
      <x:alignment vertical="top"/>
    </x:xf>
    <x:xf numFmtId="0" fontId="21" fillId="0" borderId="0" xfId="0" applyNumberFormat="1" applyFont="1" applyFill="1" applyBorder="1" applyAlignment="1">
      <x:alignment vertical="top" wrapText="1"/>
    </x:xf>
    <x:xf numFmtId="200" fontId="20" fillId="0" borderId="0" xfId="0" applyNumberFormat="1" applyFont="1" applyFill="1" applyBorder="1" applyAlignment="1">
      <x:alignment vertical="top" wrapText="1"/>
    </x:xf>
    <x:xf numFmtId="0" fontId="20" fillId="0" borderId="0" xfId="0" applyNumberFormat="1" applyFont="1" applyFill="1" applyBorder="1" applyAlignment="1">
      <x:alignment vertical="top" wrapText="1"/>
    </x:xf>
    <x:xf numFmtId="0" fontId="19" fillId="3" borderId="0" xfId="0" applyNumberFormat="1" applyFont="1" applyFill="1" applyBorder="1" applyAlignment="1">
      <x:alignment vertical="top"/>
    </x:xf>
    <x:xf numFmtId="0" fontId="22" fillId="0" borderId="0" xfId="0" applyNumberFormat="1" applyFont="1" applyFill="1" applyBorder="1" applyAlignment="1">
      <x:alignment vertical="top"/>
    </x:xf>
    <x:xf numFmtId="0" fontId="23" fillId="4" borderId="0" xfId="0" applyNumberFormat="1" applyFont="1" applyFill="1" applyBorder="1" applyAlignment="1">
      <x:alignment vertical="top"/>
    </x:xf>
    <x:xf numFmtId="0" fontId="24" fillId="0" borderId="0" xfId="0" applyNumberFormat="1" applyFont="1" applyFill="1" applyBorder="1" applyAlignment="1">
      <x:alignment vertical="top"/>
    </x:xf>
    <x:xf numFmtId="201" fontId="24" fillId="0" borderId="0" xfId="0" applyNumberFormat="1" applyFont="1" applyFill="1" applyBorder="1" applyAlignment="1">
      <x:alignment vertical="top"/>
    </x:xf>
    <x:xf numFmtId="202" fontId="24" fillId="0" borderId="0" xfId="0" applyNumberFormat="1" applyFont="1" applyFill="1" applyBorder="1" applyAlignment="1">
      <x:alignment vertical="top"/>
    </x:xf>
    <x:xf numFmtId="203" fontId="24" fillId="0" borderId="0" xfId="0" applyNumberFormat="1" applyFont="1" applyFill="1" applyBorder="1" applyAlignment="1">
      <x:alignment vertical="top"/>
    </x:xf>
    <x:xf numFmtId="0" fontId="20" fillId="5" borderId="0" xfId="0" applyNumberFormat="1" applyFont="1" applyFill="1" applyBorder="1" applyAlignment="1">
      <x:alignment vertical="top" wrapText="1"/>
    </x:xf>
    <x:xf numFmtId="0" fontId="25" fillId="6"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7" borderId="2" xfId="0" applyNumberFormat="1" applyFont="1" applyFill="1" applyBorder="1" applyAlignment="1">
      <x:alignment vertical="top" wrapText="1"/>
    </x:xf>
    <x:xf numFmtId="0" fontId="2" fillId="7" borderId="3" xfId="0" applyNumberFormat="1" applyFont="1" applyFill="1" applyBorder="1" applyAlignment="1">
      <x:alignment vertical="top" wrapText="1"/>
    </x:xf>
    <x:xf numFmtId="0" fontId="8" fillId="0" borderId="0" xfId="0" applyNumberFormat="1" applyFont="1" applyFill="1" applyBorder="1" applyAlignment="1">
      <x:alignment horizontal="right" vertical="top" wrapText="1"/>
    </x:xf>
    <x:xf numFmtId="204" fontId="8" fillId="0" borderId="0" xfId="0" applyNumberFormat="1" applyFont="1" applyFill="1" applyBorder="1" applyAlignment="1">
      <x:alignment horizontal="right" vertical="top" wrapText="1"/>
    </x:xf>
    <x:xf numFmtId="0" fontId="8" fillId="5" borderId="0" xfId="0" applyNumberFormat="1" applyFont="1" applyFill="1" applyBorder="1" applyAlignment="1">
      <x:alignment horizontal="right" vertical="top" wrapText="1"/>
    </x:xf>
    <x:xf numFmtId="202" fontId="8" fillId="0" borderId="0" xfId="0" applyNumberFormat="1" applyFont="1" applyFill="1" applyBorder="1" applyAlignment="1">
      <x:alignment horizontal="right" vertical="top" wrapText="1"/>
    </x:xf>
    <x:xf numFmtId="202" fontId="8" fillId="5" borderId="0" xfId="0" applyNumberFormat="1" applyFont="1" applyFill="1" applyBorder="1" applyAlignment="1">
      <x:alignment horizontal="right" vertical="top" wrapText="1"/>
    </x:xf>
    <x:xf numFmtId="204" fontId="8" fillId="5" borderId="0" xfId="0" applyNumberFormat="1" applyFont="1" applyFill="1" applyBorder="1" applyAlignment="1">
      <x:alignment horizontal="right" vertical="top" wrapText="1"/>
    </x:xf>
    <x:xf numFmtId="0" fontId="13" fillId="7" borderId="1" xfId="0" applyNumberFormat="1" applyFont="1" applyFill="1" applyBorder="1" applyAlignment="1">
      <x:alignment vertical="top" wrapText="1"/>
    </x:xf>
    <x:xf numFmtId="0" fontId="13" fillId="7" borderId="2" xfId="0" applyNumberFormat="1" applyFont="1" applyFill="1" applyBorder="1" applyAlignment="1">
      <x:alignment vertical="top" wrapText="1"/>
    </x:xf>
    <x:xf numFmtId="0" fontId="13" fillId="7" borderId="3" xfId="0" applyNumberFormat="1" applyFont="1" applyFill="1" applyBorder="1" applyAlignment="1">
      <x:alignment vertical="top" wrapText="1"/>
    </x:xf>
    <x:xf numFmtId="0" fontId="26" fillId="0" borderId="0" xfId="0" applyNumberFormat="1" applyFont="1" applyFill="1" applyBorder="1" applyAlignment="1">
      <x:alignment horizontal="right" vertical="top" wrapText="1"/>
    </x:xf>
    <x:xf numFmtId="204" fontId="26" fillId="0" borderId="0" xfId="0" applyNumberFormat="1" applyFont="1" applyFill="1" applyBorder="1" applyAlignment="1">
      <x:alignment horizontal="right" vertical="top" wrapText="1"/>
    </x:xf>
    <x:xf numFmtId="0" fontId="26" fillId="5" borderId="0" xfId="0" applyNumberFormat="1" applyFont="1" applyFill="1" applyBorder="1" applyAlignment="1">
      <x:alignment horizontal="right" vertical="top" wrapText="1"/>
    </x:xf>
    <x:xf numFmtId="202" fontId="26" fillId="0" borderId="0" xfId="0" applyNumberFormat="1" applyFont="1" applyFill="1" applyBorder="1" applyAlignment="1">
      <x:alignment horizontal="right" vertical="top" wrapText="1"/>
    </x:xf>
    <x:xf numFmtId="202" fontId="26" fillId="5" borderId="0" xfId="0" applyNumberFormat="1" applyFont="1" applyFill="1" applyBorder="1" applyAlignment="1">
      <x:alignment horizontal="right" vertical="top" wrapText="1"/>
    </x:xf>
    <x:xf numFmtId="204" fontId="26" fillId="5" borderId="0" xfId="0" applyNumberFormat="1" applyFont="1" applyFill="1" applyBorder="1" applyAlignment="1">
      <x:alignment horizontal="right" vertical="top" wrapText="1"/>
    </x:xf>
    <x:xf numFmtId="0" fontId="21" fillId="7" borderId="1" xfId="0" applyNumberFormat="1" applyFont="1" applyFill="1" applyBorder="1" applyAlignment="1">
      <x:alignment vertical="top" wrapText="1"/>
    </x:xf>
    <x:xf numFmtId="0" fontId="21" fillId="7" borderId="2" xfId="0" applyNumberFormat="1" applyFont="1" applyFill="1" applyBorder="1" applyAlignment="1">
      <x:alignment vertical="top" wrapText="1"/>
    </x:xf>
    <x:xf numFmtId="0" fontId="21" fillId="7" borderId="3" xfId="0" applyNumberFormat="1" applyFont="1" applyFill="1" applyBorder="1" applyAlignment="1">
      <x:alignment vertical="top" wrapText="1"/>
    </x:xf>
    <x:xf numFmtId="0" fontId="27" fillId="0" borderId="0" xfId="0" applyNumberFormat="1" applyFont="1" applyFill="1" applyBorder="1" applyAlignment="1">
      <x:alignment horizontal="right" vertical="top" wrapText="1"/>
    </x:xf>
    <x:xf numFmtId="204" fontId="27" fillId="0" borderId="0" xfId="0" applyNumberFormat="1" applyFont="1" applyFill="1" applyBorder="1" applyAlignment="1">
      <x:alignment horizontal="right" vertical="top" wrapText="1"/>
    </x:xf>
    <x:xf numFmtId="0" fontId="27" fillId="5" borderId="0" xfId="0" applyNumberFormat="1" applyFont="1" applyFill="1" applyBorder="1" applyAlignment="1">
      <x:alignment horizontal="right" vertical="top" wrapText="1"/>
    </x:xf>
    <x:xf numFmtId="202" fontId="27" fillId="0" borderId="0" xfId="0" applyNumberFormat="1" applyFont="1" applyFill="1" applyBorder="1" applyAlignment="1">
      <x:alignment horizontal="right" vertical="top" wrapText="1"/>
    </x:xf>
    <x:xf numFmtId="202" fontId="27" fillId="5" borderId="0" xfId="0" applyNumberFormat="1" applyFont="1" applyFill="1" applyBorder="1" applyAlignment="1">
      <x:alignment horizontal="right" vertical="top" wrapText="1"/>
    </x:xf>
    <x:xf numFmtId="204" fontId="27" fillId="5" borderId="0" xfId="0" applyNumberFormat="1" applyFont="1" applyFill="1" applyBorder="1" applyAlignment="1">
      <x:alignment horizontal="right" vertical="top" wrapText="1"/>
    </x:xf>
    <x:xf numFmtId="0" fontId="9" fillId="0"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201" fontId="10" fillId="0" borderId="0" xfId="0" applyNumberFormat="1" applyFont="1" applyFill="1" applyBorder="1" applyAlignment="1">
      <x:alignment vertical="top" wrapText="1"/>
    </x:xf>
    <x:xf numFmtId="202" fontId="9" fillId="0" borderId="0" xfId="0" applyNumberFormat="1" applyFont="1" applyFill="1" applyBorder="1" applyAlignment="1">
      <x:alignment vertical="top" wrapText="1"/>
    </x:xf>
    <x:xf numFmtId="204" fontId="9" fillId="0" borderId="0" xfId="0" applyNumberFormat="1" applyFont="1" applyFill="1" applyBorder="1" applyAlignment="1">
      <x:alignment vertical="top" wrapText="1"/>
    </x:xf>
    <x:xf numFmtId="203"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28" fillId="0" borderId="0" xfId="0" applyNumberFormat="1" applyFont="1" applyFill="1" applyBorder="1" applyAlignment="1">
      <x:alignment vertical="top" wrapText="1"/>
    </x:xf>
    <x:xf numFmtId="201" fontId="28" fillId="0" borderId="0" xfId="0" applyNumberFormat="1" applyFont="1" applyFill="1" applyBorder="1" applyAlignment="1">
      <x:alignment vertical="top" wrapText="1"/>
    </x:xf>
    <x:xf numFmtId="0" fontId="15" fillId="0" borderId="0" xfId="0" applyNumberFormat="1" applyFont="1" applyFill="1" applyBorder="1" applyAlignment="1">
      <x:alignment vertical="top" wrapText="1"/>
    </x:xf>
    <x:xf numFmtId="201" fontId="29" fillId="0" borderId="0" xfId="0" applyNumberFormat="1" applyFont="1" applyFill="1" applyBorder="1" applyAlignment="1">
      <x:alignment vertical="top" wrapText="1"/>
    </x:xf>
    <x:xf numFmtId="202" fontId="28" fillId="0" borderId="0" xfId="0" applyNumberFormat="1" applyFont="1" applyFill="1" applyBorder="1" applyAlignment="1">
      <x:alignment vertical="top" wrapText="1"/>
    </x:xf>
    <x:xf numFmtId="204" fontId="28" fillId="0" borderId="0" xfId="0" applyNumberFormat="1" applyFont="1" applyFill="1" applyBorder="1" applyAlignment="1">
      <x:alignment vertical="top" wrapText="1"/>
    </x:xf>
    <x:xf numFmtId="203" fontId="29" fillId="0" borderId="0" xfId="0" applyNumberFormat="1" applyFont="1" applyFill="1" applyBorder="1" applyAlignment="1">
      <x:alignment vertical="top" wrapText="1"/>
    </x:xf>
    <x:xf numFmtId="0" fontId="29" fillId="0" borderId="0" xfId="0" applyNumberFormat="1" applyFont="1" applyFill="1" applyBorder="1" applyAlignment="1">
      <x:alignment vertical="top" wrapText="1"/>
    </x:xf>
    <x:xf numFmtId="0" fontId="30" fillId="0" borderId="0" xfId="0" applyNumberFormat="1" applyFont="1" applyFill="1" applyBorder="1" applyAlignment="1">
      <x:alignment vertical="top" wrapText="1"/>
    </x:xf>
    <x:xf numFmtId="201" fontId="30" fillId="0" borderId="0" xfId="0" applyNumberFormat="1" applyFont="1" applyFill="1" applyBorder="1" applyAlignment="1">
      <x:alignment vertical="top" wrapText="1"/>
    </x:xf>
    <x:xf numFmtId="0" fontId="22" fillId="0" borderId="0" xfId="0" applyNumberFormat="1" applyFont="1" applyFill="1" applyBorder="1" applyAlignment="1">
      <x:alignment vertical="top" wrapText="1"/>
    </x:xf>
    <x:xf numFmtId="201" fontId="31" fillId="0" borderId="0" xfId="0" applyNumberFormat="1" applyFont="1" applyFill="1" applyBorder="1" applyAlignment="1">
      <x:alignment vertical="top" wrapText="1"/>
    </x:xf>
    <x:xf numFmtId="202" fontId="30" fillId="0" borderId="0" xfId="0" applyNumberFormat="1" applyFont="1" applyFill="1" applyBorder="1" applyAlignment="1">
      <x:alignment vertical="top" wrapText="1"/>
    </x:xf>
    <x:xf numFmtId="204" fontId="30" fillId="0" borderId="0" xfId="0" applyNumberFormat="1" applyFont="1" applyFill="1" applyBorder="1" applyAlignment="1">
      <x:alignment vertical="top" wrapText="1"/>
    </x:xf>
    <x:xf numFmtId="203" fontId="31" fillId="0" borderId="0" xfId="0" applyNumberFormat="1" applyFont="1" applyFill="1" applyBorder="1" applyAlignment="1">
      <x:alignment vertical="top" wrapText="1"/>
    </x:xf>
    <x:xf numFmtId="0" fontId="31"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xf numFmtId="201"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8" fillId="5"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201" fontId="6" fillId="8" borderId="0" xfId="0" applyNumberFormat="1" applyFont="1" applyFill="1" applyBorder="1" applyAlignment="1">
      <x:alignment vertical="top" wrapText="1"/>
    </x:xf>
    <x:xf numFmtId="201" fontId="10" fillId="8" borderId="0" xfId="0" applyNumberFormat="1" applyFont="1" applyFill="1" applyBorder="1" applyAlignment="1">
      <x:alignment vertical="top" wrapText="1"/>
    </x:xf>
    <x:xf numFmtId="201" fontId="26" fillId="0" borderId="0" xfId="0" applyNumberFormat="1" applyFont="1" applyFill="1" applyBorder="1" applyAlignment="1">
      <x:alignment vertical="top" wrapText="1"/>
    </x:xf>
    <x:xf numFmtId="201" fontId="15"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201" fontId="26" fillId="5" borderId="0" xfId="0" applyNumberFormat="1" applyFont="1" applyFill="1" applyBorder="1" applyAlignment="1">
      <x:alignment vertical="top" wrapText="1"/>
    </x:xf>
    <x:xf numFmtId="0" fontId="15" fillId="8" borderId="0" xfId="0" applyNumberFormat="1" applyFont="1" applyFill="1" applyBorder="1" applyAlignment="1">
      <x:alignment vertical="top" wrapText="1"/>
    </x:xf>
    <x:xf numFmtId="201" fontId="15" fillId="8" borderId="0" xfId="0" applyNumberFormat="1" applyFont="1" applyFill="1" applyBorder="1" applyAlignment="1">
      <x:alignment vertical="top" wrapText="1"/>
    </x:xf>
    <x:xf numFmtId="201" fontId="29" fillId="8" borderId="0" xfId="0" applyNumberFormat="1" applyFont="1" applyFill="1" applyBorder="1" applyAlignment="1">
      <x:alignment vertical="top" wrapText="1"/>
    </x:xf>
    <x:xf numFmtId="201" fontId="27" fillId="0" borderId="0" xfId="0" applyNumberFormat="1" applyFont="1" applyFill="1" applyBorder="1" applyAlignment="1">
      <x:alignment vertical="top" wrapText="1"/>
    </x:xf>
    <x:xf numFmtId="201" fontId="22" fillId="0" borderId="0" xfId="0" applyNumberFormat="1" applyFont="1" applyFill="1" applyBorder="1" applyAlignment="1">
      <x:alignment vertical="top" wrapText="1"/>
    </x:xf>
    <x:xf numFmtId="201" fontId="20" fillId="0" borderId="0" xfId="0" applyNumberFormat="1" applyFont="1" applyFill="1" applyBorder="1" applyAlignment="1">
      <x:alignment vertical="top" wrapText="1"/>
    </x:xf>
    <x:xf numFmtId="201" fontId="27" fillId="5" borderId="0" xfId="0" applyNumberFormat="1" applyFont="1" applyFill="1" applyBorder="1" applyAlignment="1">
      <x:alignment vertical="top" wrapText="1"/>
    </x:xf>
    <x:xf numFmtId="0" fontId="22" fillId="8" borderId="0" xfId="0" applyNumberFormat="1" applyFont="1" applyFill="1" applyBorder="1" applyAlignment="1">
      <x:alignment vertical="top" wrapText="1"/>
    </x:xf>
    <x:xf numFmtId="201" fontId="22" fillId="8" borderId="0" xfId="0" applyNumberFormat="1" applyFont="1" applyFill="1" applyBorder="1" applyAlignment="1">
      <x:alignment vertical="top" wrapText="1"/>
    </x:xf>
    <x:xf numFmtId="201" fontId="31" fillId="8" borderId="0" xfId="0" applyNumberFormat="1" applyFont="1" applyFill="1" applyBorder="1" applyAlignment="1">
      <x:alignment vertical="top" wrapText="1"/>
    </x:xf>
    <x:xf numFmtId="204" fontId="8" fillId="5" borderId="0" xfId="0" applyNumberFormat="1" applyFont="1" applyFill="1" applyBorder="1" applyAlignment="1">
      <x:alignment vertical="top"/>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204" fontId="26" fillId="5" borderId="0" xfId="0" applyNumberFormat="1" applyFont="1" applyFill="1" applyBorder="1" applyAlignment="1">
      <x:alignment vertical="top"/>
    </x:xf>
    <x:xf numFmtId="201" fontId="12" fillId="0" borderId="0" xfId="0" applyNumberFormat="1" applyFont="1" applyFill="1" applyBorder="1" applyAlignment="1">
      <x:alignment vertical="top"/>
    </x:xf>
    <x:xf numFmtId="201" fontId="15" fillId="0" borderId="0" xfId="0" applyNumberFormat="1" applyFont="1" applyFill="1" applyBorder="1" applyAlignment="1">
      <x:alignment vertical="top"/>
    </x:xf>
    <x:xf numFmtId="204" fontId="27" fillId="5" borderId="0" xfId="0" applyNumberFormat="1" applyFont="1" applyFill="1" applyBorder="1" applyAlignment="1">
      <x:alignment vertical="top"/>
    </x:xf>
    <x:xf numFmtId="201" fontId="20" fillId="0" borderId="0" xfId="0" applyNumberFormat="1" applyFont="1" applyFill="1" applyBorder="1" applyAlignment="1">
      <x:alignment vertical="top"/>
    </x:xf>
    <x:xf numFmtId="201" fontId="22" fillId="0" borderId="0" xfId="0" applyNumberFormat="1" applyFont="1" applyFill="1" applyBorder="1" applyAlignment="1">
      <x:alignment vertical="top"/>
    </x:xf>
    <x:xf numFmtId="204" fontId="0" fillId="0" borderId="0" xfId="0" applyNumberFormat="1" applyFont="1" applyFill="1" applyBorder="1" applyAlignment="1">
      <x:alignment vertical="top"/>
    </x:xf>
    <x:xf numFmtId="204" fontId="12" fillId="0" borderId="0" xfId="0" applyNumberFormat="1" applyFont="1" applyFill="1" applyBorder="1" applyAlignment="1">
      <x:alignment vertical="top"/>
    </x:xf>
    <x:xf numFmtId="204" fontId="20" fillId="0" borderId="0" xfId="0" applyNumberFormat="1" applyFont="1" applyFill="1" applyBorder="1" applyAlignment="1">
      <x:alignment vertical="top"/>
    </x:xf>
    <x:xf numFmtId="203" fontId="0"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203" fontId="12" fillId="0" borderId="0" xfId="0" applyNumberFormat="1" applyFont="1" applyFill="1" applyBorder="1" applyAlignment="1">
      <x:alignment vertical="top" wrapText="1"/>
    </x:xf>
    <x:xf numFmtId="0" fontId="15" fillId="9"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203" fontId="20" fillId="0" borderId="0" xfId="0" applyNumberFormat="1" applyFont="1" applyFill="1" applyBorder="1" applyAlignment="1">
      <x:alignment vertical="top" wrapText="1"/>
    </x:xf>
    <x:xf numFmtId="0" fontId="22" fillId="9" borderId="0" xfId="0" applyNumberFormat="1" applyFont="1" applyFill="1" applyBorder="1" applyAlignment="1">
      <x:alignment vertical="top" wrapText="1"/>
    </x:xf>
    <x:xf numFmtId="0" fontId="22" fillId="4" borderId="0" xfId="0" applyNumberFormat="1" applyFont="1" applyFill="1" applyBorder="1" applyAlignment="1">
      <x:alignment vertical="top" wrapText="1"/>
    </x:xf>
  </x:cellXfs>
  <x:cellStyles count="1">
    <x:cellStyle name="Normal" xfId="0"/>
  </x:cellStyles>
  <x:dxfs count="8">
    <x:dxf>
      <x:font>
        <x:b/>
        <x:color rgb="FF067647"/>
      </x:font>
      <x:fill>
        <x:patternFill patternType="solid">
          <x:bgColor rgb="FFEAF6EC"/>
        </x:patternFill>
      </x:fill>
    </x:dxf>
    <x:dxf>
      <x:font>
        <x:b/>
        <x:color rgb="FFB42318"/>
      </x:font>
      <x:fill>
        <x:patternFill patternType="solid">
          <x:bgColor rgb="FFFDECEC"/>
        </x:patternFill>
      </x:fill>
    </x:dxf>
    <x:dxf>
      <x:font>
        <x:b/>
        <x:color rgb="FF067647"/>
      </x:font>
      <x:fill>
        <x:patternFill patternType="solid">
          <x:bgColor rgb="FFEAF6EC"/>
        </x:patternFill>
      </x:fill>
    </x:dxf>
    <x:dxf>
      <x:font>
        <x:b/>
        <x:color rgb="FFB42318"/>
      </x:font>
      <x:fill>
        <x:patternFill patternType="solid">
          <x:bgColor rgb="FFFDECEC"/>
        </x:patternFill>
      </x:fill>
    </x:dxf>
    <x:dxf>
      <x:font>
        <x:b/>
        <x:color rgb="FFB54708"/>
      </x:font>
      <x:fill>
        <x:patternFill patternType="solid">
          <x:bgColor rgb="FFFFF4CC"/>
        </x:patternFill>
      </x:fill>
    </x:dxf>
    <x:dxf>
      <x:font>
        <x:b/>
        <x:color rgb="FF067647"/>
      </x:font>
      <x:fill>
        <x:patternFill patternType="solid">
          <x:bgColor rgb="FFEAF6EC"/>
        </x:patternFill>
      </x:fill>
    </x:dxf>
    <x:dxf>
      <x:font>
        <x:b/>
        <x:color rgb="FFB42318"/>
      </x:font>
      <x:fill>
        <x:patternFill patternType="solid">
          <x:bgColor rgb="FFFDECEC"/>
        </x:patternFill>
      </x:fill>
    </x:dxf>
    <x:dxf>
      <x:font>
        <x:b/>
        <x:color rgb="FFB54708"/>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4ebdbdd7ef428d" /><Relationship Type="http://schemas.openxmlformats.org/officeDocument/2006/relationships/theme" Target="/xl/theme/theme1.xml" Id="Ra3e2d5ec37db41a9" /><Relationship Type="http://schemas.openxmlformats.org/officeDocument/2006/relationships/sharedStrings" Target="/xl/sharedStrings.xml" Id="R0429aa0096654529" /><Relationship Type="http://schemas.openxmlformats.org/officeDocument/2006/relationships/worksheet" Target="/xl/worksheets/sheet1.xml" Id="Rc38c06ac11154489" /><Relationship Type="http://schemas.openxmlformats.org/officeDocument/2006/relationships/worksheet" Target="/xl/worksheets/sheet2.xml" Id="R0dee0c8e41b14125" /><Relationship Type="http://schemas.openxmlformats.org/officeDocument/2006/relationships/worksheet" Target="/xl/worksheets/sheet3.xml" Id="R7b6fd8efe28e4d29" /><Relationship Type="http://schemas.openxmlformats.org/officeDocument/2006/relationships/worksheet" Target="/xl/worksheets/sheet4.xml" Id="R3ebf1be112c441bc" /><Relationship Type="http://schemas.openxmlformats.org/officeDocument/2006/relationships/worksheet" Target="/xl/worksheets/sheet5.xml" Id="Rf732e1689a254ed8" /><Relationship Type="http://schemas.openxmlformats.org/officeDocument/2006/relationships/worksheet" Target="/xl/worksheets/sheet6.xml" Id="R19fe37abce0f4789" /><Relationship Type="http://schemas.openxmlformats.org/officeDocument/2006/relationships/worksheet" Target="/xl/worksheets/sheet7.xml" Id="R71fbadd8c8ac43da" /><Relationship Type="http://schemas.openxmlformats.org/officeDocument/2006/relationships/worksheet" Target="/xl/worksheets/sheet8.xml" Id="Rb185133509234978" /><Relationship Type="http://schemas.openxmlformats.org/officeDocument/2006/relationships/worksheet" Target="/xl/worksheets/sheet9.xml" Id="R10577b5c71ee4eda" /><Relationship Type="http://schemas.microsoft.com/office/2017/10/relationships/person" Target="/xl/persons/person.xml" Id="Re01c853c9bca4e0f" /></Relationships>
</file>

<file path=xl/persons/person.xml><?xml version="1.0" encoding="utf-8"?>
<xltc:personList xmlns:xltc="http://schemas.microsoft.com/office/spreadsheetml/2018/threadedcomments">
  <xltc:person displayName="Cow Farm OS" id="{E5F8685D-15CD-4D18-9B49-F9538211509F}"/>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9" dT="2026-08-15T03:53:12.322" personId="{E5F8685D-15CD-4D18-9B49-F9538211509F}" id="{0935FEC7-A53F-4B56-AE36-D250F1A1984E}">
    <xltc:text>Source benchmark only: NDDB minimum raw milk price page. Replace with a written buyer formula covering fat, SNF, deductions, pickup and payment days.</xltc:text>
  </xltc:threadedComment>
  <xltc:threadedComment ref="D20" dT="2026-08-15T03:53:12.325" personId="{E5F8685D-15CD-4D18-9B49-F9538211509F}" id="{C6BA14F1-2F5F-5AA8-CA04-27746D8F03FC}">
    <xltc:text>Insurance value benchmark from Lumbini Agriculture Diary 2083. Actual insurer valuation and policy wording control.</xltc:text>
  </xltc:threadedComment>
  <xltc:threadedComment ref="D22" dT="2026-08-15T03:53:12.325" personId="{E5F8685D-15CD-4D18-9B49-F9538211509F}" id="{28FCC705-FF28-1CAF-97ED-AB047B88DCA5}">
    <xltc:text>2082 crop/livestock premium procedure: 80% up to NPR 50 lakh insured value, 65% from NPR 50 lakh to 1 crore, 50% above NPR 1 crore. Confirm at binding.</xltc:text>
  </xltc:threadedComment>
  <xltc:threadedComment ref="D24" dT="2026-08-15T03:53:12.325" personId="{E5F8685D-15CD-4D18-9B49-F9538211509F}" id="{F1DE6C20-FD27-B2A6-2251-97E9EAFE619F}">
    <xltc:text>ADBL published base rate at Ashadh-end 2083 was 4.56%. Its Shrawan 2083 agriculture term premium is up to 2.5%; a specific sanction letter may differ.</xltc:text>
  </xltc:threadedComment>
  <xltc:threadedComment ref="E25" dT="2026-08-15T03:53:12.325" personId="{E5F8685D-15CD-4D18-9B49-F9538211509F}" id="{6D2056DD-2522-6A13-A58F-E561E0779C41}">
    <xltc:text>NRB first-amended 2082 concessional-loan procedure provides a 3% interest subsidy for eligible loans, up to five years. Excluded from Base/Downside viability.</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d5ff9a5517a44bc7" /><Relationship Type="http://schemas.openxmlformats.org/officeDocument/2006/relationships/vmlDrawing" Target="/xl/drawings/vmldrawing.vml" Id="R1ea092f204674e7f" /><Relationship Type="http://schemas.microsoft.com/office/2017/10/relationships/threadedComment" Target="/xl/threadedcomments/threadedcomment.xml" Id="Re51ce72c3a4d4bf5"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70" hidden="0" customWidth="1"/>
  </x:cols>
  <x:sheetData>
    <x:row r="1" ht="30" customHeight="1">
      <x:c r="A1" s="111" t="str">
        <x:v>Cow Farm OS — Phase 2 Integrated Financial Model</x:v>
      </x:c>
      <x:c r="B1" s="111"/>
      <x:c r="C1" s="111"/>
      <x:c r="D1" s="111"/>
      <x:c r="E1" s="111"/>
      <x:c r="F1" s="111"/>
      <x:c r="G1" s="111"/>
      <x:c r="H1" s="111"/>
    </x:row>
    <x:row r="2" ht="30" customHeight="1">
      <x:c r="A2" s="111"/>
      <x:c r="B2" s="111"/>
      <x:c r="C2" s="111"/>
      <x:c r="D2" s="111"/>
      <x:c r="E2" s="111"/>
      <x:c r="F2" s="111"/>
      <x:c r="G2" s="111"/>
      <x:c r="H2" s="111"/>
    </x:row>
    <x:row r="3">
      <x:c r="A3" s="112"/>
      <x:c r="B3" s="112"/>
      <x:c r="C3" s="112"/>
      <x:c r="D3" s="112"/>
      <x:c r="E3" s="112"/>
      <x:c r="F3" s="112"/>
      <x:c r="G3" s="112"/>
      <x:c r="H3" s="112"/>
    </x:row>
    <x:row r="4">
      <x:c r="A4" s="113" t="str">
        <x:v>Model date</x:v>
      </x:c>
      <x:c r="B4" s="114" t="n">
        <x:v>46249</x:v>
      </x:c>
      <x:c r="C4" s="112"/>
      <x:c r="D4" s="112"/>
      <x:c r="E4" s="112"/>
      <x:c r="F4" s="112"/>
      <x:c r="G4" s="112"/>
      <x:c r="H4" s="112"/>
    </x:row>
    <x:row r="5">
      <x:c r="A5" s="113" t="str">
        <x:v>Project area</x:v>
      </x:c>
      <x:c r="B5" s="115" t="str">
        <x:v>Badhaiyatal, Bardiya, Lumbini Province</x:v>
      </x:c>
      <x:c r="C5" s="112"/>
      <x:c r="D5" s="112"/>
      <x:c r="E5" s="112"/>
      <x:c r="F5" s="112"/>
      <x:c r="G5" s="112"/>
      <x:c r="H5" s="112"/>
    </x:row>
    <x:row r="6">
      <x:c r="A6" s="113" t="str">
        <x:v>Currency</x:v>
      </x:c>
      <x:c r="B6" s="115" t="str">
        <x:v>NPR; amounts shown in whole rupees unless stated</x:v>
      </x:c>
      <x:c r="C6" s="112"/>
      <x:c r="D6" s="112"/>
      <x:c r="E6" s="112"/>
      <x:c r="F6" s="112"/>
      <x:c r="G6" s="112"/>
      <x:c r="H6" s="112"/>
    </x:row>
    <x:row r="7">
      <x:c r="A7" s="113" t="str">
        <x:v>Decision use</x:v>
      </x:c>
      <x:c r="B7" s="115" t="str">
        <x:v>Commercial-validation screening; not a bankable DPR</x:v>
      </x:c>
      <x:c r="C7" s="112"/>
      <x:c r="D7" s="112"/>
      <x:c r="E7" s="112"/>
      <x:c r="F7" s="112"/>
      <x:c r="G7" s="112"/>
      <x:c r="H7" s="112"/>
    </x:row>
    <x:row r="8">
      <x:c r="A8" s="113" t="str">
        <x:v>Launch strategy</x:v>
      </x:c>
      <x:c r="B8" s="115" t="str">
        <x:v>40–60 total animals; core infrastructure planned for ~100</x:v>
      </x:c>
      <x:c r="C8" s="112"/>
      <x:c r="D8" s="112"/>
      <x:c r="E8" s="112"/>
      <x:c r="F8" s="112"/>
      <x:c r="G8" s="112"/>
      <x:c r="H8" s="112"/>
    </x:row>
    <x:row r="9">
      <x:c r="A9" s="113" t="str">
        <x:v>Subsidy treatment</x:v>
      </x:c>
      <x:c r="B9" s="115" t="str">
        <x:v>No grant income and no interest subsidy in Base/Downside viability</x:v>
      </x:c>
      <x:c r="C9" s="112"/>
      <x:c r="D9" s="112"/>
      <x:c r="E9" s="112"/>
      <x:c r="F9" s="112"/>
      <x:c r="G9" s="112"/>
      <x:c r="H9" s="112"/>
    </x:row>
    <x:row r="10">
      <x:c r="A10" s="112"/>
      <x:c r="B10" s="112"/>
      <x:c r="C10" s="112"/>
      <x:c r="D10" s="112"/>
      <x:c r="E10" s="112"/>
      <x:c r="F10" s="112"/>
      <x:c r="G10" s="112"/>
      <x:c r="H10" s="112"/>
    </x:row>
    <x:row r="11">
      <x:c r="A11" s="116" t="str">
        <x:v>Decision snapshot</x:v>
      </x:c>
      <x:c r="B11" s="116"/>
      <x:c r="C11" s="116"/>
      <x:c r="D11" s="116"/>
      <x:c r="E11" s="116"/>
      <x:c r="F11" s="116"/>
      <x:c r="G11" s="116"/>
      <x:c r="H11" s="116"/>
    </x:row>
    <x:row r="12">
      <x:c r="A12" s="117" t="str">
        <x:v>Current commercial decision</x:v>
      </x:c>
      <x:c r="B12" s="118" t="str">
        <x:v>NO-GO — local evidence gates remain open</x:v>
      </x:c>
      <x:c r="C12" s="112"/>
      <x:c r="D12" s="112"/>
      <x:c r="E12" s="112"/>
      <x:c r="F12" s="112"/>
      <x:c r="G12" s="112"/>
      <x:c r="H12" s="112"/>
    </x:row>
    <x:row r="13">
      <x:c r="A13" s="117" t="str">
        <x:v>Base total animals</x:v>
      </x:c>
      <x:c r="B13" s="119" t="n">
        <x:f>'Scenario Summary'!D5</x:f>
        <x:v>50</x:v>
      </x:c>
      <x:c r="C13" s="112"/>
      <x:c r="D13" s="112"/>
      <x:c r="E13" s="112"/>
      <x:c r="F13" s="112"/>
      <x:c r="G13" s="112"/>
      <x:c r="H13" s="112"/>
    </x:row>
    <x:row r="14">
      <x:c r="A14" s="117" t="str">
        <x:v>Base annual saleable milk (L)</x:v>
      </x:c>
      <x:c r="B14" s="120" t="n">
        <x:f>'Scenario Summary'!D8</x:f>
        <x:v>138079.5</x:v>
      </x:c>
      <x:c r="C14" s="112"/>
      <x:c r="D14" s="112"/>
      <x:c r="E14" s="112"/>
      <x:c r="F14" s="112"/>
      <x:c r="G14" s="112"/>
      <x:c r="H14" s="112"/>
    </x:row>
    <x:row r="15">
      <x:c r="A15" s="117" t="str">
        <x:v>Base EBITDA (NPR)</x:v>
      </x:c>
      <x:c r="B15" s="120" t="n">
        <x:f>'Scenario Summary'!D21</x:f>
        <x:v>997272.4750000006</x:v>
      </x:c>
      <x:c r="C15" s="112"/>
      <x:c r="D15" s="112"/>
      <x:c r="E15" s="112"/>
      <x:c r="F15" s="112"/>
      <x:c r="G15" s="112"/>
      <x:c r="H15" s="112"/>
    </x:row>
    <x:row r="16">
      <x:c r="A16" s="117" t="str">
        <x:v>Base cash cost (NPR/L)</x:v>
      </x:c>
      <x:c r="B16" s="121" t="n">
        <x:f>'Scenario Summary'!D22</x:f>
        <x:v>59.72754862235161</x:v>
      </x:c>
      <x:c r="C16" s="112"/>
      <x:c r="D16" s="112"/>
      <x:c r="E16" s="112"/>
      <x:c r="F16" s="112"/>
      <x:c r="G16" s="112"/>
      <x:c r="H16" s="112"/>
    </x:row>
    <x:row r="17">
      <x:c r="A17" s="117" t="str">
        <x:v>Base DSCR (x)</x:v>
      </x:c>
      <x:c r="B17" s="122" t="n">
        <x:f>'Scenario Summary'!D28</x:f>
        <x:v>0.5822022089230936</x:v>
      </x:c>
      <x:c r="C17" s="112"/>
      <x:c r="D17" s="112"/>
      <x:c r="E17" s="112"/>
      <x:c r="F17" s="112"/>
      <x:c r="G17" s="112"/>
      <x:c r="H17" s="112"/>
    </x:row>
    <x:row r="18">
      <x:c r="A18" s="117" t="str">
        <x:v>Screening funding envelope (NPR)</x:v>
      </x:c>
      <x:c r="B18" s="120" t="n">
        <x:f>'CAPEX &amp; Funding'!E27</x:f>
        <x:v>23598735.016666666</x:v>
      </x:c>
      <x:c r="C18" s="112"/>
      <x:c r="D18" s="112"/>
      <x:c r="E18" s="112"/>
      <x:c r="F18" s="112"/>
      <x:c r="G18" s="112"/>
      <x:c r="H18" s="112"/>
    </x:row>
    <x:row r="19">
      <x:c r="A19" s="112"/>
      <x:c r="B19" s="112"/>
      <x:c r="C19" s="112"/>
      <x:c r="D19" s="112"/>
      <x:c r="E19" s="112"/>
      <x:c r="F19" s="112"/>
      <x:c r="G19" s="112"/>
      <x:c r="H19" s="112"/>
    </x:row>
    <x:row r="20">
      <x:c r="A20" s="123" t="str">
        <x:v>Interpretation: the workbook tests whether a quote-backed project could work. It does not convert public programme budgets, insurance support, benchmark milk prices, or supplier leads into binding commercial terms. Replace blue inputs with written buyer offers, site tests, quotations, cattle records, and bank/insurer term sheets before a GO decision.</x:v>
      </x:c>
      <x:c r="B20" s="123"/>
      <x:c r="C20" s="123"/>
      <x:c r="D20" s="123"/>
      <x:c r="E20" s="123"/>
      <x:c r="F20" s="123"/>
      <x:c r="G20" s="123"/>
      <x:c r="H20" s="123"/>
    </x:row>
    <x:row r="21">
      <x:c r="A21" s="123"/>
      <x:c r="B21" s="123"/>
      <x:c r="C21" s="123"/>
      <x:c r="D21" s="123"/>
      <x:c r="E21" s="123"/>
      <x:c r="F21" s="123"/>
      <x:c r="G21" s="123"/>
      <x:c r="H21" s="123"/>
    </x:row>
    <x:row r="22">
      <x:c r="A22" s="123"/>
      <x:c r="B22" s="123"/>
      <x:c r="C22" s="123"/>
      <x:c r="D22" s="123"/>
      <x:c r="E22" s="123"/>
      <x:c r="F22" s="123"/>
      <x:c r="G22" s="123"/>
      <x:c r="H22" s="123"/>
    </x:row>
    <x:row r="23">
      <x:c r="A23" s="123"/>
      <x:c r="B23" s="123"/>
      <x:c r="C23" s="123"/>
      <x:c r="D23" s="123"/>
      <x:c r="E23" s="123"/>
      <x:c r="F23" s="123"/>
      <x:c r="G23" s="123"/>
      <x:c r="H23" s="123"/>
    </x:row>
    <x:row r="24">
      <x:c r="A24" s="112"/>
      <x:c r="B24" s="112"/>
      <x:c r="C24" s="112"/>
      <x:c r="D24" s="112"/>
      <x:c r="E24" s="112"/>
      <x:c r="F24" s="112"/>
      <x:c r="G24" s="112"/>
      <x:c r="H24" s="112"/>
    </x:row>
    <x:row r="25">
      <x:c r="A25" s="124" t="str">
        <x:v>Color convention: blue font = editable planning input; green font = internal workbook link; black = calculation. Yellow cells need local evidence. The model deliberately uses the 12–14 L/day underwriting strategy, not the obsolete 17 L/day expansion target in the earlier gate file.</x:v>
      </x:c>
      <x:c r="B25" s="124"/>
      <x:c r="C25" s="124"/>
      <x:c r="D25" s="124"/>
      <x:c r="E25" s="124"/>
      <x:c r="F25" s="124"/>
      <x:c r="G25" s="124"/>
      <x:c r="H25" s="124"/>
    </x:row>
    <x:row r="26">
      <x:c r="A26" s="124"/>
      <x:c r="B26" s="124"/>
      <x:c r="C26" s="124"/>
      <x:c r="D26" s="124"/>
      <x:c r="E26" s="124"/>
      <x:c r="F26" s="124"/>
      <x:c r="G26" s="124"/>
      <x:c r="H26" s="124"/>
    </x:row>
    <x:row r="27">
      <x:c r="A27" s="124"/>
      <x:c r="B27" s="124"/>
      <x:c r="C27" s="124"/>
      <x:c r="D27" s="124"/>
      <x:c r="E27" s="124"/>
      <x:c r="F27" s="124"/>
      <x:c r="G27" s="124"/>
      <x:c r="H27" s="124"/>
    </x:row>
    <x:row r="28">
      <x:c r="A28" s="124"/>
      <x:c r="B28" s="124"/>
      <x:c r="C28" s="124"/>
      <x:c r="D28" s="124"/>
      <x:c r="E28" s="124"/>
      <x:c r="F28" s="124"/>
      <x:c r="G28" s="124"/>
      <x:c r="H28" s="124"/>
    </x:row>
  </x:sheetData>
  <x:mergeCells>
    <x:mergeCell ref="A1:H2"/>
    <x:mergeCell ref="A11:H11"/>
    <x:mergeCell ref="A20:H23"/>
    <x:mergeCell ref="A25: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0" hidden="0" customWidth="1"/>
    <x:col min="2" max="2" width="22" hidden="0" customWidth="1"/>
    <x:col min="3" max="3" width="16" hidden="0" customWidth="1"/>
    <x:col min="4" max="4" width="16" hidden="0" customWidth="1"/>
    <x:col min="5" max="5" width="16" hidden="0" customWidth="1"/>
    <x:col min="6" max="6" width="68" hidden="0" customWidth="1"/>
  </x:cols>
  <x:sheetData>
    <x:row r="1" ht="30" customHeight="1">
      <x:c r="A1" s="111" t="str">
        <x:v>Scenario Assumptions</x:v>
      </x:c>
      <x:c r="B1" s="111"/>
      <x:c r="C1" s="111"/>
      <x:c r="D1" s="111"/>
      <x:c r="E1" s="111"/>
      <x:c r="F1" s="111"/>
    </x:row>
    <x:row r="2" ht="30" customHeight="1">
      <x:c r="A2" s="111"/>
      <x:c r="B2" s="111"/>
      <x:c r="C2" s="111"/>
      <x:c r="D2" s="111"/>
      <x:c r="E2" s="111"/>
      <x:c r="F2" s="111"/>
    </x:row>
    <x:row r="3">
      <x:c r="A3" s="112"/>
      <x:c r="B3" s="112"/>
      <x:c r="C3" s="112"/>
      <x:c r="D3" s="112"/>
      <x:c r="E3" s="112"/>
      <x:c r="F3" s="112"/>
    </x:row>
    <x:row r="4">
      <x:c r="A4" s="143" t="str">
        <x:v>Driver</x:v>
      </x:c>
      <x:c r="B4" s="144" t="str">
        <x:v>Units</x:v>
      </x:c>
      <x:c r="C4" s="144" t="str">
        <x:v>Downside</x:v>
      </x:c>
      <x:c r="D4" s="144" t="str">
        <x:v>Base</x:v>
      </x:c>
      <x:c r="E4" s="144" t="str">
        <x:v>Upside</x:v>
      </x:c>
      <x:c r="F4" s="145" t="str">
        <x:v>Evidence status / note</x:v>
      </x:c>
    </x:row>
    <x:row r="5">
      <x:c r="A5" s="115" t="str">
        <x:v>Total animals</x:v>
      </x:c>
      <x:c r="B5" s="115" t="str">
        <x:v>head</x:v>
      </x:c>
      <x:c r="C5" s="146" t="n">
        <x:v>50</x:v>
      </x:c>
      <x:c r="D5" s="146" t="n">
        <x:v>50</x:v>
      </x:c>
      <x:c r="E5" s="146" t="n">
        <x:v>50</x:v>
      </x:c>
      <x:c r="F5" s="115" t="str">
        <x:v>Strategy set; final stocking follows buyer/feed/site capacity</x:v>
      </x:c>
    </x:row>
    <x:row r="6">
      <x:c r="A6" s="115" t="str">
        <x:v>Lactating share</x:v>
      </x:c>
      <x:c r="B6" s="115" t="str">
        <x:v>% total herd</x:v>
      </x:c>
      <x:c r="C6" s="147" t="n">
        <x:v>0.56</x:v>
      </x:c>
      <x:c r="D6" s="147" t="n">
        <x:v>0.6</x:v>
      </x:c>
      <x:c r="E6" s="147" t="n">
        <x:v>0.62</x:v>
      </x:c>
      <x:c r="F6" s="115" t="str">
        <x:v>Planning structure; validate procurement and calving profile</x:v>
      </x:c>
    </x:row>
    <x:row r="7">
      <x:c r="A7" s="115" t="str">
        <x:v>Saleable yield/lactating animal/day</x:v>
      </x:c>
      <x:c r="B7" s="115" t="str">
        <x:v>L</x:v>
      </x:c>
      <x:c r="C7" s="148" t="n">
        <x:v>11</x:v>
      </x:c>
      <x:c r="D7" s="146" t="n">
        <x:v>13</x:v>
      </x:c>
      <x:c r="E7" s="146" t="n">
        <x:v>15</x:v>
      </x:c>
      <x:c r="F7" s="115" t="str">
        <x:v>Underwriting range 12–14 L; downside deliberately below range</x:v>
      </x:c>
    </x:row>
    <x:row r="8">
      <x:c r="A8" s="115" t="str">
        <x:v>Saleable fraction</x:v>
      </x:c>
      <x:c r="B8" s="115" t="str">
        <x:v>% gross milk</x:v>
      </x:c>
      <x:c r="C8" s="147" t="n">
        <x:v>0.96</x:v>
      </x:c>
      <x:c r="D8" s="147" t="n">
        <x:v>0.97</x:v>
      </x:c>
      <x:c r="E8" s="147" t="n">
        <x:v>0.98</x:v>
      </x:c>
      <x:c r="F8" s="115" t="str">
        <x:v>Assumption: calf use, withdrawal, spoilage and rejection</x:v>
      </x:c>
    </x:row>
    <x:row r="9">
      <x:c r="A9" s="115" t="str">
        <x:v>Farm-gate milk price</x:v>
      </x:c>
      <x:c r="B9" s="115" t="str">
        <x:v>NPR/L</x:v>
      </x:c>
      <x:c r="C9" s="149" t="n">
        <x:v>58.5</x:v>
      </x:c>
      <x:c r="D9" s="150" t="n">
        <x:v>65</x:v>
      </x:c>
      <x:c r="E9" s="149" t="n">
        <x:v>70</x:v>
      </x:c>
      <x:c r="F9" s="115" t="str">
        <x:v>Benchmark only; replace with buyer fat/SNF formula</x:v>
      </x:c>
    </x:row>
    <x:row r="10">
      <x:c r="A10" s="115" t="str">
        <x:v>Other operating income</x:v>
      </x:c>
      <x:c r="B10" s="115" t="str">
        <x:v>% milk revenue</x:v>
      </x:c>
      <x:c r="C10" s="147" t="n">
        <x:v>0</x:v>
      </x:c>
      <x:c r="D10" s="147" t="n">
        <x:v>0.03</x:v>
      </x:c>
      <x:c r="E10" s="147" t="n">
        <x:v>0.05</x:v>
      </x:c>
      <x:c r="F10" s="115" t="str">
        <x:v>Excluded/downweighted until manure/calf markets are proven</x:v>
      </x:c>
    </x:row>
    <x:row r="11">
      <x:c r="A11" s="115" t="str">
        <x:v>Lactating feed cost</x:v>
      </x:c>
      <x:c r="B11" s="115" t="str">
        <x:v>NPR/head/day</x:v>
      </x:c>
      <x:c r="C11" s="148" t="n">
        <x:v>390</x:v>
      </x:c>
      <x:c r="D11" s="148" t="n">
        <x:v>350</x:v>
      </x:c>
      <x:c r="E11" s="148" t="n">
        <x:v>325</x:v>
      </x:c>
      <x:c r="F11" s="115" t="str">
        <x:v>Planning allowance; replace with nutritionist ration + quotes</x:v>
      </x:c>
    </x:row>
    <x:row r="12">
      <x:c r="A12" s="115" t="str">
        <x:v>Non-lactating feed cost</x:v>
      </x:c>
      <x:c r="B12" s="115" t="str">
        <x:v>NPR/head/day</x:v>
      </x:c>
      <x:c r="C12" s="148" t="n">
        <x:v>180</x:v>
      </x:c>
      <x:c r="D12" s="148" t="n">
        <x:v>150</x:v>
      </x:c>
      <x:c r="E12" s="148" t="n">
        <x:v>135</x:v>
      </x:c>
      <x:c r="F12" s="115" t="str">
        <x:v>Blended dry/heifer/calf allowance</x:v>
      </x:c>
    </x:row>
    <x:row r="13">
      <x:c r="A13" s="115" t="str">
        <x:v>Loaded labour cost</x:v>
      </x:c>
      <x:c r="B13" s="115" t="str">
        <x:v>NPR/FTE/year</x:v>
      </x:c>
      <x:c r="C13" s="146" t="n">
        <x:v>360000</x:v>
      </x:c>
      <x:c r="D13" s="146" t="n">
        <x:v>330000</x:v>
      </x:c>
      <x:c r="E13" s="146" t="n">
        <x:v>330000</x:v>
      </x:c>
      <x:c r="F13" s="115" t="str">
        <x:v>Planning allowance; validate Bardiya wage package</x:v>
      </x:c>
    </x:row>
    <x:row r="14">
      <x:c r="A14" s="115" t="str">
        <x:v>Labour FTE</x:v>
      </x:c>
      <x:c r="B14" s="115" t="str">
        <x:v>FTE</x:v>
      </x:c>
      <x:c r="C14" s="146" t="n">
        <x:v>5</x:v>
      </x:c>
      <x:c r="D14" s="146" t="n">
        <x:v>4</x:v>
      </x:c>
      <x:c r="E14" s="146" t="n">
        <x:v>4</x:v>
      </x:c>
      <x:c r="F14" s="115" t="str">
        <x:v>Includes relief coverage; owner/manager treatment must be confirmed</x:v>
      </x:c>
    </x:row>
    <x:row r="15">
      <x:c r="A15" s="115" t="str">
        <x:v>Health, AI and medicines</x:v>
      </x:c>
      <x:c r="B15" s="115" t="str">
        <x:v>NPR/head/year</x:v>
      </x:c>
      <x:c r="C15" s="146" t="n">
        <x:v>20000</x:v>
      </x:c>
      <x:c r="D15" s="146" t="n">
        <x:v>15000</x:v>
      </x:c>
      <x:c r="E15" s="146" t="n">
        <x:v>14000</x:v>
      </x:c>
      <x:c r="F15" s="115" t="str">
        <x:v>Planning allowance</x:v>
      </x:c>
    </x:row>
    <x:row r="16">
      <x:c r="A16" s="115" t="str">
        <x:v>Utilities, transport, consumables</x:v>
      </x:c>
      <x:c r="B16" s="115" t="str">
        <x:v>% milk revenue</x:v>
      </x:c>
      <x:c r="C16" s="147" t="n">
        <x:v>0.08</x:v>
      </x:c>
      <x:c r="D16" s="147" t="n">
        <x:v>0.06</x:v>
      </x:c>
      <x:c r="E16" s="147" t="n">
        <x:v>0.05</x:v>
      </x:c>
      <x:c r="F16" s="115" t="str">
        <x:v>Planning allowance; depends on pickup/chilling</x:v>
      </x:c>
    </x:row>
    <x:row r="17">
      <x:c r="A17" s="115" t="str">
        <x:v>Admin and management overhead</x:v>
      </x:c>
      <x:c r="B17" s="115" t="str">
        <x:v>NPR/year</x:v>
      </x:c>
      <x:c r="C17" s="146" t="n">
        <x:v>600000</x:v>
      </x:c>
      <x:c r="D17" s="146" t="n">
        <x:v>450000</x:v>
      </x:c>
      <x:c r="E17" s="146" t="n">
        <x:v>400000</x:v>
      </x:c>
      <x:c r="F17" s="115" t="str">
        <x:v>Excludes owner distributions</x:v>
      </x:c>
    </x:row>
    <x:row r="18">
      <x:c r="A18" s="115" t="str">
        <x:v>Repairs and maintenance</x:v>
      </x:c>
      <x:c r="B18" s="115" t="str">
        <x:v>% fixed CAPEX/year</x:v>
      </x:c>
      <x:c r="C18" s="147" t="n">
        <x:v>0.025</x:v>
      </x:c>
      <x:c r="D18" s="147" t="n">
        <x:v>0.02</x:v>
      </x:c>
      <x:c r="E18" s="147" t="n">
        <x:v>0.018</x:v>
      </x:c>
      <x:c r="F18" s="115" t="str">
        <x:v>Planning allowance</x:v>
      </x:c>
    </x:row>
    <x:row r="19">
      <x:c r="A19" s="115" t="str">
        <x:v>Livestock insured value</x:v>
      </x:c>
      <x:c r="B19" s="115" t="str">
        <x:v>NPR</x:v>
      </x:c>
      <x:c r="C19" s="146" t="n">
        <x:v>4050000</x:v>
      </x:c>
      <x:c r="D19" s="146" t="n">
        <x:v>4050000</x:v>
      </x:c>
      <x:c r="E19" s="146" t="n">
        <x:v>4050000</x:v>
      </x:c>
      <x:c r="F19" s="115" t="str">
        <x:v>24 improved milch @150k + 6 improved heifers @75k benchmark</x:v>
      </x:c>
    </x:row>
    <x:row r="20">
      <x:c r="A20" s="115" t="str">
        <x:v>Gross livestock premium</x:v>
      </x:c>
      <x:c r="B20" s="115" t="str">
        <x:v>% insured value</x:v>
      </x:c>
      <x:c r="C20" s="151" t="n">
        <x:v>0.05</x:v>
      </x:c>
      <x:c r="D20" s="151" t="n">
        <x:v>0.05</x:v>
      </x:c>
      <x:c r="E20" s="151" t="n">
        <x:v>0.05</x:v>
      </x:c>
      <x:c r="F20" s="115" t="str">
        <x:v>Placeholder until insurer quotation</x:v>
      </x:c>
    </x:row>
    <x:row r="21">
      <x:c r="A21" s="115" t="str">
        <x:v>Premium subsidy share</x:v>
      </x:c>
      <x:c r="B21" s="115" t="str">
        <x:v>% premium</x:v>
      </x:c>
      <x:c r="C21" s="151" t="n">
        <x:v>0</x:v>
      </x:c>
      <x:c r="D21" s="151" t="n">
        <x:v>0.8</x:v>
      </x:c>
      <x:c r="E21" s="151" t="n">
        <x:v>0.8</x:v>
      </x:c>
      <x:c r="F21" s="115" t="str">
        <x:v>2082 procedure tier; cash timing/eligibility must be confirmed</x:v>
      </x:c>
    </x:row>
    <x:row r="22">
      <x:c r="A22" s="115" t="str">
        <x:v>Debt share</x:v>
      </x:c>
      <x:c r="B22" s="115" t="str">
        <x:v>% funding</x:v>
      </x:c>
      <x:c r="C22" s="151" t="n">
        <x:v>0.5</x:v>
      </x:c>
      <x:c r="D22" s="151" t="n">
        <x:v>0.4</x:v>
      </x:c>
      <x:c r="E22" s="151" t="n">
        <x:v>0.3</x:v>
      </x:c>
      <x:c r="F22" s="115" t="str">
        <x:v>Policy choice; bank appraisal and equity availability pending</x:v>
      </x:c>
    </x:row>
    <x:row r="23">
      <x:c r="A23" s="115" t="str">
        <x:v>Gross annual interest rate</x:v>
      </x:c>
      <x:c r="B23" s="115" t="str">
        <x:v>%</x:v>
      </x:c>
      <x:c r="C23" s="151" t="n">
        <x:v>0.1</x:v>
      </x:c>
      <x:c r="D23" s="151" t="n">
        <x:v>0.0706</x:v>
      </x:c>
      <x:c r="E23" s="151" t="n">
        <x:v>0.0606</x:v>
      </x:c>
      <x:c r="F23" s="115" t="str">
        <x:v>Base uses ADBL Ashadh base 4.56% + 2.5% term premium; quoted term required</x:v>
      </x:c>
    </x:row>
    <x:row r="24">
      <x:c r="A24" s="115" t="str">
        <x:v>Interest subsidy in viability</x:v>
      </x:c>
      <x:c r="B24" s="115" t="str">
        <x:v>%</x:v>
      </x:c>
      <x:c r="C24" s="151" t="n">
        <x:v>0</x:v>
      </x:c>
      <x:c r="D24" s="151" t="n">
        <x:v>0</x:v>
      </x:c>
      <x:c r="E24" s="151" t="n">
        <x:v>0.03</x:v>
      </x:c>
      <x:c r="F24" s="115" t="str">
        <x:v>Excluded from Base/Downside; upside reflects current NRB programme</x:v>
      </x:c>
    </x:row>
    <x:row r="25">
      <x:c r="A25" s="115" t="str">
        <x:v>Loan tenor</x:v>
      </x:c>
      <x:c r="B25" s="115" t="str">
        <x:v>years</x:v>
      </x:c>
      <x:c r="C25" s="148" t="n">
        <x:v>7</x:v>
      </x:c>
      <x:c r="D25" s="148" t="n">
        <x:v>7</x:v>
      </x:c>
      <x:c r="E25" s="148" t="n">
        <x:v>7</x:v>
      </x:c>
      <x:c r="F25" s="115" t="str">
        <x:v>Assumption; lender term sheet required</x:v>
      </x:c>
    </x:row>
    <x:row r="26">
      <x:c r="A26" s="115" t="str">
        <x:v>Buyer payment delay</x:v>
      </x:c>
      <x:c r="B26" s="115" t="str">
        <x:v>days</x:v>
      </x:c>
      <x:c r="C26" s="148" t="n">
        <x:v>60</x:v>
      </x:c>
      <x:c r="D26" s="148" t="n">
        <x:v>30</x:v>
      </x:c>
      <x:c r="E26" s="148" t="n">
        <x:v>15</x:v>
      </x:c>
      <x:c r="F26" s="115" t="str">
        <x:v>Written terms and supplier reference checks required</x:v>
      </x:c>
    </x:row>
    <x:row r="27">
      <x:c r="A27" s="115" t="str">
        <x:v>Working-capital reserve</x:v>
      </x:c>
      <x:c r="B27" s="115" t="str">
        <x:v>months cash OPEX</x:v>
      </x:c>
      <x:c r="C27" s="148" t="n">
        <x:v>6</x:v>
      </x:c>
      <x:c r="D27" s="148" t="n">
        <x:v>4</x:v>
      </x:c>
      <x:c r="E27" s="148" t="n">
        <x:v>3</x:v>
      </x:c>
      <x:c r="F27" s="115" t="str">
        <x:v>Must also cover receivables and feed inventory</x:v>
      </x:c>
    </x:row>
  </x:sheetData>
  <x:mergeCells>
    <x:mergeCell ref="A1:F2"/>
  </x:mergeCells>
  <x:pageMargins left="0.7" right="0.7" top="0.75" bottom="0.75" header="0.3" footer="0.3"/>
  <x:legacyDrawing xmlns:r="http://schemas.openxmlformats.org/officeDocument/2006/relationships" r:id="R1ea092f204674e7f"/>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8" hidden="0" customWidth="1"/>
    <x:col min="4" max="4" width="18" hidden="0" customWidth="1"/>
    <x:col min="5" max="5" width="18" hidden="0" customWidth="1"/>
  </x:cols>
  <x:sheetData>
    <x:row r="1" ht="30" customHeight="1">
      <x:c r="A1" s="111" t="str">
        <x:v>Scenario Economics — Steady-State Annual Screening</x:v>
      </x:c>
      <x:c r="B1" s="111"/>
      <x:c r="C1" s="111"/>
      <x:c r="D1" s="111"/>
      <x:c r="E1" s="111"/>
    </x:row>
    <x:row r="2" ht="30" customHeight="1">
      <x:c r="A2" s="111"/>
      <x:c r="B2" s="111"/>
      <x:c r="C2" s="111"/>
      <x:c r="D2" s="111"/>
      <x:c r="E2" s="111"/>
    </x:row>
    <x:row r="3">
      <x:c r="A3" s="112"/>
      <x:c r="B3" s="112"/>
      <x:c r="C3" s="112"/>
      <x:c r="D3" s="112"/>
      <x:c r="E3" s="112"/>
    </x:row>
    <x:row r="4">
      <x:c r="A4" s="143" t="str">
        <x:v>Metric</x:v>
      </x:c>
      <x:c r="B4" s="144" t="str">
        <x:v>Units</x:v>
      </x:c>
      <x:c r="C4" s="144" t="str">
        <x:v>Downside</x:v>
      </x:c>
      <x:c r="D4" s="144" t="str">
        <x:v>Base</x:v>
      </x:c>
      <x:c r="E4" s="145" t="str">
        <x:v>Upside</x:v>
      </x:c>
    </x:row>
    <x:row r="5">
      <x:c r="A5" s="115" t="str">
        <x:v>Total animals</x:v>
      </x:c>
      <x:c r="B5" s="115" t="str">
        <x:v>head</x:v>
      </x:c>
      <x:c r="C5" s="168" t="n">
        <x:f>'Assumptions'!C5</x:f>
        <x:v>50</x:v>
      </x:c>
      <x:c r="D5" s="168" t="n">
        <x:f>'Assumptions'!D5</x:f>
        <x:v>50</x:v>
      </x:c>
      <x:c r="E5" s="168" t="n">
        <x:f>'Assumptions'!E5</x:f>
        <x:v>50</x:v>
      </x:c>
    </x:row>
    <x:row r="6">
      <x:c r="A6" s="115" t="str">
        <x:v>Lactating animals</x:v>
      </x:c>
      <x:c r="B6" s="115" t="str">
        <x:v>head</x:v>
      </x:c>
      <x:c r="C6" s="168" t="n">
        <x:f>C5*'Assumptions'!C6</x:f>
        <x:v>28.000000000000004</x:v>
      </x:c>
      <x:c r="D6" s="168" t="n">
        <x:f>D5*'Assumptions'!D6</x:f>
        <x:v>30</x:v>
      </x:c>
      <x:c r="E6" s="168" t="n">
        <x:f>E5*'Assumptions'!E6</x:f>
        <x:v>31</x:v>
      </x:c>
    </x:row>
    <x:row r="7">
      <x:c r="A7" s="115" t="str">
        <x:v>Daily saleable milk</x:v>
      </x:c>
      <x:c r="B7" s="115" t="str">
        <x:v>L/day</x:v>
      </x:c>
      <x:c r="C7" s="168" t="n">
        <x:f>C6*'Assumptions'!C7*'Assumptions'!C8</x:f>
        <x:v>295.68000000000006</x:v>
      </x:c>
      <x:c r="D7" s="168" t="n">
        <x:f>D6*'Assumptions'!D7*'Assumptions'!D8</x:f>
        <x:v>378.3</x:v>
      </x:c>
      <x:c r="E7" s="168" t="n">
        <x:f>E6*'Assumptions'!E7*'Assumptions'!E8</x:f>
        <x:v>455.7</x:v>
      </x:c>
    </x:row>
    <x:row r="8">
      <x:c r="A8" s="115" t="str">
        <x:v>Annual saleable milk</x:v>
      </x:c>
      <x:c r="B8" s="115" t="str">
        <x:v>L/year</x:v>
      </x:c>
      <x:c r="C8" s="168" t="n">
        <x:f>C7*365</x:f>
        <x:v>107923.20000000003</x:v>
      </x:c>
      <x:c r="D8" s="168" t="n">
        <x:f>D7*365</x:f>
        <x:v>138079.5</x:v>
      </x:c>
      <x:c r="E8" s="168" t="n">
        <x:f>E7*365</x:f>
        <x:v>166330.5</x:v>
      </x:c>
    </x:row>
    <x:row r="9">
      <x:c r="A9" s="115" t="str">
        <x:v>Milk revenue</x:v>
      </x:c>
      <x:c r="B9" s="115" t="str">
        <x:v>NPR/year</x:v>
      </x:c>
      <x:c r="C9" s="169" t="n">
        <x:f>C8*'Assumptions'!C9</x:f>
        <x:v>6313507.200000001</x:v>
      </x:c>
      <x:c r="D9" s="169" t="n">
        <x:f>D8*'Assumptions'!D9</x:f>
        <x:v>8975167.5</x:v>
      </x:c>
      <x:c r="E9" s="169" t="n">
        <x:f>E8*'Assumptions'!E9</x:f>
        <x:v>11643135</x:v>
      </x:c>
    </x:row>
    <x:row r="10">
      <x:c r="A10" s="115" t="str">
        <x:v>Other income</x:v>
      </x:c>
      <x:c r="B10" s="115" t="str">
        <x:v>NPR/year</x:v>
      </x:c>
      <x:c r="C10" s="169" t="n">
        <x:f>C9*'Assumptions'!C10</x:f>
        <x:v>0</x:v>
      </x:c>
      <x:c r="D10" s="169" t="n">
        <x:f>D9*'Assumptions'!D10</x:f>
        <x:v>269255.02499999997</x:v>
      </x:c>
      <x:c r="E10" s="169" t="n">
        <x:f>E9*'Assumptions'!E10</x:f>
        <x:v>582156.75</x:v>
      </x:c>
    </x:row>
    <x:row r="11">
      <x:c r="A11" s="115" t="str">
        <x:v>Total operating revenue</x:v>
      </x:c>
      <x:c r="B11" s="115" t="str">
        <x:v>NPR/year</x:v>
      </x:c>
      <x:c r="C11" s="169" t="n">
        <x:f>SUM(C9:C10)</x:f>
        <x:v>6313507.200000001</x:v>
      </x:c>
      <x:c r="D11" s="169" t="n">
        <x:f>SUM(D9:D10)</x:f>
        <x:v>9244422.525</x:v>
      </x:c>
      <x:c r="E11" s="169" t="n">
        <x:f>SUM(E9:E10)</x:f>
        <x:v>12225291.75</x:v>
      </x:c>
    </x:row>
    <x:row r="12">
      <x:c r="A12" s="115" t="str">
        <x:v>Lactating feed</x:v>
      </x:c>
      <x:c r="B12" s="115" t="str">
        <x:v>NPR/year</x:v>
      </x:c>
      <x:c r="C12" s="169" t="n">
        <x:f>C6*'Assumptions'!C11*365</x:f>
        <x:v>3985800.0000000005</x:v>
      </x:c>
      <x:c r="D12" s="169" t="n">
        <x:f>D6*'Assumptions'!D11*365</x:f>
        <x:v>3832500</x:v>
      </x:c>
      <x:c r="E12" s="169" t="n">
        <x:f>E6*'Assumptions'!E11*365</x:f>
        <x:v>3677375</x:v>
      </x:c>
    </x:row>
    <x:row r="13">
      <x:c r="A13" s="115" t="str">
        <x:v>Non-lactating feed</x:v>
      </x:c>
      <x:c r="B13" s="115" t="str">
        <x:v>NPR/year</x:v>
      </x:c>
      <x:c r="C13" s="169" t="n">
        <x:f>(C5-C6)*'Assumptions'!C12*365</x:f>
        <x:v>1445399.9999999998</x:v>
      </x:c>
      <x:c r="D13" s="169" t="n">
        <x:f>(D5-D6)*'Assumptions'!D12*365</x:f>
        <x:v>1095000</x:v>
      </x:c>
      <x:c r="E13" s="169" t="n">
        <x:f>(E5-E6)*'Assumptions'!E12*365</x:f>
        <x:v>936225</x:v>
      </x:c>
    </x:row>
    <x:row r="14">
      <x:c r="A14" s="115" t="str">
        <x:v>Labour</x:v>
      </x:c>
      <x:c r="B14" s="115" t="str">
        <x:v>NPR/year</x:v>
      </x:c>
      <x:c r="C14" s="169" t="n">
        <x:f>'Assumptions'!C13*'Assumptions'!C14</x:f>
        <x:v>1800000</x:v>
      </x:c>
      <x:c r="D14" s="169" t="n">
        <x:f>'Assumptions'!D13*'Assumptions'!D14</x:f>
        <x:v>1320000</x:v>
      </x:c>
      <x:c r="E14" s="169" t="n">
        <x:f>'Assumptions'!E13*'Assumptions'!E14</x:f>
        <x:v>1320000</x:v>
      </x:c>
    </x:row>
    <x:row r="15">
      <x:c r="A15" s="115" t="str">
        <x:v>Health, AI and medicines</x:v>
      </x:c>
      <x:c r="B15" s="115" t="str">
        <x:v>NPR/year</x:v>
      </x:c>
      <x:c r="C15" s="169" t="n">
        <x:f>C5*'Assumptions'!C15</x:f>
        <x:v>1000000</x:v>
      </x:c>
      <x:c r="D15" s="169" t="n">
        <x:f>D5*'Assumptions'!D15</x:f>
        <x:v>750000</x:v>
      </x:c>
      <x:c r="E15" s="169" t="n">
        <x:f>E5*'Assumptions'!E15</x:f>
        <x:v>700000</x:v>
      </x:c>
    </x:row>
    <x:row r="16">
      <x:c r="A16" s="115" t="str">
        <x:v>Utilities, transport, consumables</x:v>
      </x:c>
      <x:c r="B16" s="115" t="str">
        <x:v>NPR/year</x:v>
      </x:c>
      <x:c r="C16" s="169" t="n">
        <x:f>C9*'Assumptions'!C16</x:f>
        <x:v>505080.5760000001</x:v>
      </x:c>
      <x:c r="D16" s="169" t="n">
        <x:f>D9*'Assumptions'!D16</x:f>
        <x:v>538510.0499999999</x:v>
      </x:c>
      <x:c r="E16" s="169" t="n">
        <x:f>E9*'Assumptions'!E16</x:f>
        <x:v>582156.75</x:v>
      </x:c>
    </x:row>
    <x:row r="17">
      <x:c r="A17" s="115" t="str">
        <x:v>Admin and management</x:v>
      </x:c>
      <x:c r="B17" s="115" t="str">
        <x:v>NPR/year</x:v>
      </x:c>
      <x:c r="C17" s="169" t="n">
        <x:f>'Assumptions'!C17</x:f>
        <x:v>600000</x:v>
      </x:c>
      <x:c r="D17" s="169" t="n">
        <x:f>'Assumptions'!D17</x:f>
        <x:v>450000</x:v>
      </x:c>
      <x:c r="E17" s="169" t="n">
        <x:f>'Assumptions'!E17</x:f>
        <x:v>400000</x:v>
      </x:c>
    </x:row>
    <x:row r="18">
      <x:c r="A18" s="115" t="str">
        <x:v>Repairs and maintenance</x:v>
      </x:c>
      <x:c r="B18" s="115" t="str">
        <x:v>NPR/year</x:v>
      </x:c>
      <x:c r="C18" s="169" t="n">
        <x:f>('CAPEX &amp; Funding'!E21-'CAPEX &amp; Funding'!E5-'CAPEX &amp; Funding'!E6)*'Assumptions'!C18</x:f>
        <x:v>275800</x:v>
      </x:c>
      <x:c r="D18" s="169" t="n">
        <x:f>('CAPEX &amp; Funding'!E21-'CAPEX &amp; Funding'!E5-'CAPEX &amp; Funding'!E6)*'Assumptions'!D18</x:f>
        <x:v>220640</x:v>
      </x:c>
      <x:c r="E18" s="169" t="n">
        <x:f>('CAPEX &amp; Funding'!E21-'CAPEX &amp; Funding'!E5-'CAPEX &amp; Funding'!E6)*'Assumptions'!E18</x:f>
        <x:v>198575.99999999997</x:v>
      </x:c>
    </x:row>
    <x:row r="19">
      <x:c r="A19" s="115" t="str">
        <x:v>Net livestock premium</x:v>
      </x:c>
      <x:c r="B19" s="115" t="str">
        <x:v>NPR/year</x:v>
      </x:c>
      <x:c r="C19" s="169" t="n">
        <x:f>'Assumptions'!C19*'Assumptions'!C20*(1-'Assumptions'!C21)</x:f>
        <x:v>202500</x:v>
      </x:c>
      <x:c r="D19" s="169" t="n">
        <x:f>'Assumptions'!D19*'Assumptions'!D20*(1-'Assumptions'!D21)</x:f>
        <x:v>40499.99999999999</x:v>
      </x:c>
      <x:c r="E19" s="169" t="n">
        <x:f>'Assumptions'!E19*'Assumptions'!E20*(1-'Assumptions'!E21)</x:f>
        <x:v>40499.99999999999</x:v>
      </x:c>
    </x:row>
    <x:row r="20">
      <x:c r="A20" s="170" t="str">
        <x:v>Total cash OPEX</x:v>
      </x:c>
      <x:c r="B20" s="170" t="str">
        <x:v>NPR/year</x:v>
      </x:c>
      <x:c r="C20" s="171" t="n">
        <x:f>SUM(C12:C19)</x:f>
        <x:v>9814580.576</x:v>
      </x:c>
      <x:c r="D20" s="171" t="n">
        <x:f>SUM(D12:D19)</x:f>
        <x:v>8247150.05</x:v>
      </x:c>
      <x:c r="E20" s="171" t="n">
        <x:f>SUM(E12:E19)</x:f>
        <x:v>7854832.75</x:v>
      </x:c>
    </x:row>
    <x:row r="21">
      <x:c r="A21" s="170" t="str">
        <x:v>EBITDA before debt service</x:v>
      </x:c>
      <x:c r="B21" s="170" t="str">
        <x:v>NPR/year</x:v>
      </x:c>
      <x:c r="C21" s="171" t="n">
        <x:f>C11-C20</x:f>
        <x:v>-3501073.3759999983</x:v>
      </x:c>
      <x:c r="D21" s="171" t="n">
        <x:f>D11-D20</x:f>
        <x:v>997272.4750000006</x:v>
      </x:c>
      <x:c r="E21" s="171" t="n">
        <x:f>E11-E20</x:f>
        <x:v>4370459</x:v>
      </x:c>
    </x:row>
    <x:row r="22">
      <x:c r="A22" s="115" t="str">
        <x:v>Cash cost</x:v>
      </x:c>
      <x:c r="B22" s="115" t="str">
        <x:v>NPR/L</x:v>
      </x:c>
      <x:c r="C22" s="172" t="n">
        <x:f>C20/C8</x:f>
        <x:v>90.94041481349697</x:v>
      </x:c>
      <x:c r="D22" s="172" t="n">
        <x:f>D20/D8</x:f>
        <x:v>59.72754862235161</x:v>
      </x:c>
      <x:c r="E22" s="172" t="n">
        <x:f>E20/E8</x:f>
        <x:v>47.22424780782839</x:v>
      </x:c>
    </x:row>
    <x:row r="23">
      <x:c r="A23" s="115" t="str">
        <x:v>Operating break-even milk price</x:v>
      </x:c>
      <x:c r="B23" s="115" t="str">
        <x:v>NPR/L</x:v>
      </x:c>
      <x:c r="C23" s="172" t="n">
        <x:f>(C20-C10)/C8</x:f>
        <x:v>90.94041481349697</x:v>
      </x:c>
      <x:c r="D23" s="172" t="n">
        <x:f>(D20-D10)/D8</x:f>
        <x:v>57.77754862235161</x:v>
      </x:c>
      <x:c r="E23" s="172" t="n">
        <x:f>(E20-E10)/E8</x:f>
        <x:v>43.72424780782839</x:v>
      </x:c>
    </x:row>
    <x:row r="24">
      <x:c r="A24" s="115" t="str">
        <x:v>Funding envelope</x:v>
      </x:c>
      <x:c r="B24" s="115" t="str">
        <x:v>NPR</x:v>
      </x:c>
      <x:c r="C24" s="169" t="n">
        <x:f>'CAPEX &amp; Funding'!E27</x:f>
        <x:v>23598735.016666666</x:v>
      </x:c>
      <x:c r="D24" s="169" t="n">
        <x:f>'CAPEX &amp; Funding'!E27</x:f>
        <x:v>23598735.016666666</x:v>
      </x:c>
      <x:c r="E24" s="169" t="n">
        <x:f>'CAPEX &amp; Funding'!E27</x:f>
        <x:v>23598735.016666666</x:v>
      </x:c>
    </x:row>
    <x:row r="25">
      <x:c r="A25" s="115" t="str">
        <x:v>Debt amount</x:v>
      </x:c>
      <x:c r="B25" s="115" t="str">
        <x:v>NPR</x:v>
      </x:c>
      <x:c r="C25" s="169" t="n">
        <x:f>C24*'Assumptions'!C22</x:f>
        <x:v>11799367.508333333</x:v>
      </x:c>
      <x:c r="D25" s="169" t="n">
        <x:f>D24*'Assumptions'!D22</x:f>
        <x:v>9439494.006666666</x:v>
      </x:c>
      <x:c r="E25" s="169" t="n">
        <x:f>E24*'Assumptions'!E22</x:f>
        <x:v>7079620.505</x:v>
      </x:c>
    </x:row>
    <x:row r="26">
      <x:c r="A26" s="115" t="str">
        <x:v>Net interest rate used</x:v>
      </x:c>
      <x:c r="B26" s="115" t="str">
        <x:v>%</x:v>
      </x:c>
      <x:c r="C26" s="173" t="n">
        <x:f>MAX(0,'Assumptions'!C23-'Assumptions'!C24)</x:f>
        <x:v>0.1</x:v>
      </x:c>
      <x:c r="D26" s="173" t="n">
        <x:f>MAX(0,'Assumptions'!D23-'Assumptions'!D24)</x:f>
        <x:v>0.0706</x:v>
      </x:c>
      <x:c r="E26" s="173" t="n">
        <x:f>MAX(0,'Assumptions'!E23-'Assumptions'!E24)</x:f>
        <x:v>0.030600000000000002</x:v>
      </x:c>
    </x:row>
    <x:row r="27">
      <x:c r="A27" s="115" t="str">
        <x:v>Annual debt service</x:v>
      </x:c>
      <x:c r="B27" s="115" t="str">
        <x:v>NPR/year</x:v>
      </x:c>
      <x:c r="C27" s="169" t="n">
        <x:f>C25*(C26/12)*(1+C26/12)^('Assumptions'!C25*12)/((1+C26/12)^('Assumptions'!C25*12)-1)*12</x:f>
        <x:v>2350601.656880405</x:v>
      </x:c>
      <x:c r="D27" s="169" t="n">
        <x:f>D25*(D26/12)*(1+D26/12)^('Assumptions'!D25*12)/((1+D26/12)^('Assumptions'!D25*12)-1)*12</x:f>
        <x:v>1712931.451848435</x:v>
      </x:c>
      <x:c r="E27" s="169" t="n">
        <x:f>E25*(E26/12)*(1+E26/12)^('Assumptions'!E25*12)/((1+E26/12)^('Assumptions'!E25*12)-1)*12</x:f>
        <x:v>1124840.6014998627</x:v>
      </x:c>
    </x:row>
    <x:row r="28">
      <x:c r="A28" s="170" t="str">
        <x:v>DSCR</x:v>
      </x:c>
      <x:c r="B28" s="170" t="str">
        <x:v>x</x:v>
      </x:c>
      <x:c r="C28" s="174" t="n">
        <x:f>C21/C27</x:f>
        <x:v>-1.489437125917132</x:v>
      </x:c>
      <x:c r="D28" s="174" t="n">
        <x:f>D21/D27</x:f>
        <x:v>0.5822022089230936</x:v>
      </x:c>
      <x:c r="E28" s="174" t="n">
        <x:f>E21/E27</x:f>
        <x:v>3.8854029576923423</x:v>
      </x:c>
    </x:row>
    <x:row r="29">
      <x:c r="A29" s="170" t="str">
        <x:v>Receivables at stated payment days</x:v>
      </x:c>
      <x:c r="B29" s="170" t="str">
        <x:v>NPR</x:v>
      </x:c>
      <x:c r="C29" s="171" t="n">
        <x:f>C9*'Assumptions'!C26/365</x:f>
        <x:v>1037836.8000000002</x:v>
      </x:c>
      <x:c r="D29" s="171" t="n">
        <x:f>D9*'Assumptions'!D26/365</x:f>
        <x:v>737685</x:v>
      </x:c>
      <x:c r="E29" s="171" t="n">
        <x:f>E9*'Assumptions'!E26/365</x:f>
        <x:v>478485</x:v>
      </x:c>
    </x:row>
    <x:row r="30">
      <x:c r="A30" s="170" t="str">
        <x:v>GO threshold: DSCR &gt;= 1.20x</x:v>
      </x:c>
      <x:c r="B30" s="170" t="str">
        <x:v>PASS/FAIL</x:v>
      </x:c>
      <x:c r="C30" s="175" t="str">
        <x:f>IF(C28&gt;=1.2,"PASS","FAIL")</x:f>
        <x:v>FAIL</x:v>
      </x:c>
      <x:c r="D30" s="175" t="str">
        <x:f>IF(D28&gt;=1.2,"PASS","FAIL")</x:f>
        <x:v>FAIL</x:v>
      </x:c>
      <x:c r="E30" s="175" t="str">
        <x:f>IF(E28&gt;=1.2,"PASS","FAIL")</x:f>
        <x:v>PASS</x:v>
      </x:c>
    </x:row>
  </x:sheetData>
  <x:mergeCells>
    <x:mergeCell ref="A1:E2"/>
  </x:mergeCells>
  <x:conditionalFormatting sqref="C30:E30">
    <x:cfRule type="containsText" dxfId="0" priority="1" operator="containsText" text="PASS"/>
    <x:cfRule type="containsText" dxfId="1" priority="2" operator="containsText" text="FAIL"/>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4" hidden="0" customWidth="1"/>
    <x:col min="2" max="2" width="13" hidden="0" customWidth="1"/>
    <x:col min="3" max="3" width="13" hidden="0" customWidth="1"/>
    <x:col min="4" max="4" width="20" hidden="0" customWidth="1"/>
    <x:col min="5" max="5" width="20" hidden="0" customWidth="1"/>
    <x:col min="6" max="6" width="18" hidden="0" customWidth="1"/>
    <x:col min="7" max="7" width="60" hidden="0" customWidth="1"/>
  </x:cols>
  <x:sheetData>
    <x:row r="1" ht="30" customHeight="1">
      <x:c r="A1" s="111" t="str">
        <x:v>CAPEX, Working Capital and Funding — Screening Allowances</x:v>
      </x:c>
      <x:c r="B1" s="111"/>
      <x:c r="C1" s="111"/>
      <x:c r="D1" s="111"/>
      <x:c r="E1" s="111"/>
      <x:c r="F1" s="111"/>
      <x:c r="G1" s="111"/>
    </x:row>
    <x:row r="2" ht="30" customHeight="1">
      <x:c r="A2" s="111"/>
      <x:c r="B2" s="111"/>
      <x:c r="C2" s="111"/>
      <x:c r="D2" s="111"/>
      <x:c r="E2" s="111"/>
      <x:c r="F2" s="111"/>
      <x:c r="G2" s="111"/>
    </x:row>
    <x:row r="3">
      <x:c r="A3" s="112"/>
      <x:c r="B3" s="112"/>
      <x:c r="C3" s="112"/>
      <x:c r="D3" s="112"/>
      <x:c r="E3" s="112"/>
      <x:c r="F3" s="112"/>
      <x:c r="G3" s="112"/>
    </x:row>
    <x:row r="4">
      <x:c r="A4" s="143" t="str">
        <x:v>Package</x:v>
      </x:c>
      <x:c r="B4" s="144" t="str">
        <x:v>Quantity</x:v>
      </x:c>
      <x:c r="C4" s="144" t="str">
        <x:v>Unit</x:v>
      </x:c>
      <x:c r="D4" s="144" t="str">
        <x:v>Unit cost (NPR)</x:v>
      </x:c>
      <x:c r="E4" s="144" t="str">
        <x:v>Amount (NPR)</x:v>
      </x:c>
      <x:c r="F4" s="144" t="str">
        <x:v>Evidence class</x:v>
      </x:c>
      <x:c r="G4" s="145" t="str">
        <x:v>Required replacement evidence</x:v>
      </x:c>
    </x:row>
    <x:row r="5">
      <x:c r="A5" s="115" t="str">
        <x:v>Mature cows</x:v>
      </x:c>
      <x:c r="B5" s="115" t="n">
        <x:v>24</x:v>
      </x:c>
      <x:c r="C5" s="115" t="str">
        <x:v>head</x:v>
      </x:c>
      <x:c r="D5" s="190" t="n">
        <x:v>250000</x:v>
      </x:c>
      <x:c r="E5" s="169" t="n">
        <x:f>B5*D5</x:f>
        <x:v>6000000</x:v>
      </x:c>
      <x:c r="F5" s="115" t="str">
        <x:v>ASSUMPTION</x:v>
      </x:c>
      <x:c r="G5" s="115" t="str">
        <x:v>3 traceable supplier quotations + individual records</x:v>
      </x:c>
    </x:row>
    <x:row r="6">
      <x:c r="A6" s="115" t="str">
        <x:v>In-calf heifers</x:v>
      </x:c>
      <x:c r="B6" s="115" t="n">
        <x:v>6</x:v>
      </x:c>
      <x:c r="C6" s="115" t="str">
        <x:v>head</x:v>
      </x:c>
      <x:c r="D6" s="190" t="n">
        <x:v>180000</x:v>
      </x:c>
      <x:c r="E6" s="169" t="n">
        <x:f>B6*D6</x:f>
        <x:v>1080000</x:v>
      </x:c>
      <x:c r="F6" s="115" t="str">
        <x:v>ASSUMPTION</x:v>
      </x:c>
      <x:c r="G6" s="115" t="str">
        <x:v>3 traceable supplier quotations + pregnancy check</x:v>
      </x:c>
    </x:row>
    <x:row r="7">
      <x:c r="A7" s="115" t="str">
        <x:v>Main shed, feed alley, floors, drainage</x:v>
      </x:c>
      <x:c r="B7" s="115" t="n">
        <x:v>1</x:v>
      </x:c>
      <x:c r="C7" s="115" t="str">
        <x:v>package</x:v>
      </x:c>
      <x:c r="D7" s="190" t="n">
        <x:v>4000000</x:v>
      </x:c>
      <x:c r="E7" s="169" t="n">
        <x:f>B7*D7</x:f>
        <x:v>4000000</x:v>
      </x:c>
      <x:c r="F7" s="115" t="str">
        <x:v>ASSUMPTION</x:v>
      </x:c>
      <x:c r="G7" s="115" t="str">
        <x:v>Surveyed drawings + 3 BOQs</x:v>
      </x:c>
    </x:row>
    <x:row r="8">
      <x:c r="A8" s="115" t="str">
        <x:v>Youngstock, calving, sick and quarantine pens</x:v>
      </x:c>
      <x:c r="B8" s="115" t="n">
        <x:v>1</x:v>
      </x:c>
      <x:c r="C8" s="115" t="str">
        <x:v>package</x:v>
      </x:c>
      <x:c r="D8" s="190" t="n">
        <x:v>900000</x:v>
      </x:c>
      <x:c r="E8" s="169" t="n">
        <x:f>B8*D8</x:f>
        <x:v>900000</x:v>
      </x:c>
      <x:c r="F8" s="115" t="str">
        <x:v>ASSUMPTION</x:v>
      </x:c>
      <x:c r="G8" s="115" t="str">
        <x:v>Compliant drawings + 3 BOQs</x:v>
      </x:c>
    </x:row>
    <x:row r="9">
      <x:c r="A9" s="115" t="str">
        <x:v>Milking system and hygienic milk room</x:v>
      </x:c>
      <x:c r="B9" s="115" t="n">
        <x:v>1</x:v>
      </x:c>
      <x:c r="C9" s="115" t="str">
        <x:v>package</x:v>
      </x:c>
      <x:c r="D9" s="190" t="n">
        <x:v>600000</x:v>
      </x:c>
      <x:c r="E9" s="169" t="n">
        <x:f>B9*D9</x:f>
        <x:v>600000</x:v>
      </x:c>
      <x:c r="F9" s="115" t="str">
        <x:v>ASSUMPTION</x:v>
      </x:c>
      <x:c r="G9" s="115" t="str">
        <x:v>Comparable supplier quotations</x:v>
      </x:c>
    </x:row>
    <x:row r="10">
      <x:c r="A10" s="115" t="str">
        <x:v>Bulk milk cooler / chilling interface</x:v>
      </x:c>
      <x:c r="B10" s="115" t="n">
        <x:v>1</x:v>
      </x:c>
      <x:c r="C10" s="115" t="str">
        <x:v>package</x:v>
      </x:c>
      <x:c r="D10" s="190" t="n">
        <x:v>650000</x:v>
      </x:c>
      <x:c r="E10" s="169" t="n">
        <x:f>B10*D10</x:f>
        <x:v>650000</x:v>
      </x:c>
      <x:c r="F10" s="115" t="str">
        <x:v>ASSUMPTION</x:v>
      </x:c>
      <x:c r="G10" s="115" t="str">
        <x:v>Buyer pickup interval + supplier quote</x:v>
      </x:c>
    </x:row>
    <x:row r="11">
      <x:c r="A11" s="115" t="str">
        <x:v>Water source, storage, troughs and cooling</x:v>
      </x:c>
      <x:c r="B11" s="115" t="n">
        <x:v>1</x:v>
      </x:c>
      <x:c r="C11" s="115" t="str">
        <x:v>package</x:v>
      </x:c>
      <x:c r="D11" s="190" t="n">
        <x:v>700000</x:v>
      </x:c>
      <x:c r="E11" s="169" t="n">
        <x:f>B11*D11</x:f>
        <x:v>700000</x:v>
      </x:c>
      <x:c r="F11" s="115" t="str">
        <x:v>ASSUMPTION</x:v>
      </x:c>
      <x:c r="G11" s="115" t="str">
        <x:v>Yield test, water test, hydraulic design</x:v>
      </x:c>
    </x:row>
    <x:row r="12">
      <x:c r="A12" s="115" t="str">
        <x:v>Silage bunkers and feed storage</x:v>
      </x:c>
      <x:c r="B12" s="115" t="n">
        <x:v>1</x:v>
      </x:c>
      <x:c r="C12" s="115" t="str">
        <x:v>package</x:v>
      </x:c>
      <x:c r="D12" s="190" t="n">
        <x:v>650000</x:v>
      </x:c>
      <x:c r="E12" s="169" t="n">
        <x:f>B12*D12</x:f>
        <x:v>650000</x:v>
      </x:c>
      <x:c r="F12" s="115" t="str">
        <x:v>ASSUMPTION</x:v>
      </x:c>
      <x:c r="G12" s="115" t="str">
        <x:v>Ration/annual inventory + BOQ</x:v>
      </x:c>
    </x:row>
    <x:row r="13">
      <x:c r="A13" s="115" t="str">
        <x:v>Chaff cutter and feed handling</x:v>
      </x:c>
      <x:c r="B13" s="115" t="n">
        <x:v>1</x:v>
      </x:c>
      <x:c r="C13" s="115" t="str">
        <x:v>package</x:v>
      </x:c>
      <x:c r="D13" s="190" t="n">
        <x:v>450000</x:v>
      </x:c>
      <x:c r="E13" s="169" t="n">
        <x:f>B13*D13</x:f>
        <x:v>450000</x:v>
      </x:c>
      <x:c r="F13" s="115" t="str">
        <x:v>ASSUMPTION</x:v>
      </x:c>
      <x:c r="G13" s="115" t="str">
        <x:v>Supplier/service comparison</x:v>
      </x:c>
    </x:row>
    <x:row r="14">
      <x:c r="A14" s="115" t="str">
        <x:v>Manure, wastewater and compost interface</x:v>
      </x:c>
      <x:c r="B14" s="115" t="n">
        <x:v>1</x:v>
      </x:c>
      <x:c r="C14" s="115" t="str">
        <x:v>package</x:v>
      </x:c>
      <x:c r="D14" s="190" t="n">
        <x:v>500000</x:v>
      </x:c>
      <x:c r="E14" s="169" t="n">
        <x:f>B14*D14</x:f>
        <x:v>500000</x:v>
      </x:c>
      <x:c r="F14" s="115" t="str">
        <x:v>ASSUMPTION</x:v>
      </x:c>
      <x:c r="G14" s="115" t="str">
        <x:v>Mass balance + environmental design</x:v>
      </x:c>
    </x:row>
    <x:row r="15">
      <x:c r="A15" s="115" t="str">
        <x:v>Electrical, plumbing and critical backup</x:v>
      </x:c>
      <x:c r="B15" s="115" t="n">
        <x:v>1</x:v>
      </x:c>
      <x:c r="C15" s="115" t="str">
        <x:v>package</x:v>
      </x:c>
      <x:c r="D15" s="190" t="n">
        <x:v>600000</x:v>
      </x:c>
      <x:c r="E15" s="169" t="n">
        <x:f>B15*D15</x:f>
        <x:v>600000</x:v>
      </x:c>
      <x:c r="F15" s="115" t="str">
        <x:v>ASSUMPTION</x:v>
      </x:c>
      <x:c r="G15" s="115" t="str">
        <x:v>Load schedule + supplier quotes</x:v>
      </x:c>
    </x:row>
    <x:row r="16">
      <x:c r="A16" s="115" t="str">
        <x:v>Store, vet room, office and records</x:v>
      </x:c>
      <x:c r="B16" s="115" t="n">
        <x:v>1</x:v>
      </x:c>
      <x:c r="C16" s="115" t="str">
        <x:v>package</x:v>
      </x:c>
      <x:c r="D16" s="190" t="n">
        <x:v>350000</x:v>
      </x:c>
      <x:c r="E16" s="169" t="n">
        <x:f>B16*D16</x:f>
        <x:v>350000</x:v>
      </x:c>
      <x:c r="F16" s="115" t="str">
        <x:v>ASSUMPTION</x:v>
      </x:c>
      <x:c r="G16" s="115" t="str">
        <x:v>BOQ</x:v>
      </x:c>
    </x:row>
    <x:row r="17">
      <x:c r="A17" s="115" t="str">
        <x:v>Fencing and biosecurity control</x:v>
      </x:c>
      <x:c r="B17" s="115" t="n">
        <x:v>1</x:v>
      </x:c>
      <x:c r="C17" s="115" t="str">
        <x:v>package</x:v>
      </x:c>
      <x:c r="D17" s="190" t="n">
        <x:v>250000</x:v>
      </x:c>
      <x:c r="E17" s="169" t="n">
        <x:f>B17*D17</x:f>
        <x:v>250000</x:v>
      </x:c>
      <x:c r="F17" s="115" t="str">
        <x:v>ASSUMPTION</x:v>
      </x:c>
      <x:c r="G17" s="115" t="str">
        <x:v>Site plan + quotations</x:v>
      </x:c>
    </x:row>
    <x:row r="18">
      <x:c r="A18" s="115" t="str">
        <x:v>Survey, soil/water tests, design and permits</x:v>
      </x:c>
      <x:c r="B18" s="115" t="n">
        <x:v>1</x:v>
      </x:c>
      <x:c r="C18" s="115" t="str">
        <x:v>package</x:v>
      </x:c>
      <x:c r="D18" s="190" t="n">
        <x:v>200000</x:v>
      </x:c>
      <x:c r="E18" s="169" t="n">
        <x:f>B18*D18</x:f>
        <x:v>200000</x:v>
      </x:c>
      <x:c r="F18" s="115" t="str">
        <x:v>ASSUMPTION</x:v>
      </x:c>
      <x:c r="G18" s="115" t="str">
        <x:v>Professional proposals / fee schedule</x:v>
      </x:c>
    </x:row>
    <x:row r="19">
      <x:c r="A19" s="170" t="str">
        <x:v>Direct CAPEX subtotal</x:v>
      </x:c>
      <x:c r="B19" s="170"/>
      <x:c r="C19" s="170"/>
      <x:c r="D19" s="191"/>
      <x:c r="E19" s="171" t="n">
        <x:f>SUM(E5:E18)</x:f>
        <x:v>16930000</x:v>
      </x:c>
      <x:c r="F19" s="115"/>
      <x:c r="G19" s="115"/>
    </x:row>
    <x:row r="20">
      <x:c r="A20" s="170" t="str">
        <x:v>Contingency (12% of fixed infrastructure, excluding animals)</x:v>
      </x:c>
      <x:c r="B20" s="170"/>
      <x:c r="C20" s="170"/>
      <x:c r="D20" s="191"/>
      <x:c r="E20" s="171" t="n">
        <x:f>SUM(E7:E18)*12%</x:f>
        <x:v>1182000</x:v>
      </x:c>
      <x:c r="F20" s="115"/>
      <x:c r="G20" s="115"/>
    </x:row>
    <x:row r="21">
      <x:c r="A21" s="170" t="str">
        <x:v>CAPEX including contingency</x:v>
      </x:c>
      <x:c r="B21" s="170"/>
      <x:c r="C21" s="170"/>
      <x:c r="D21" s="191"/>
      <x:c r="E21" s="171" t="n">
        <x:f>SUM(E19:E20)</x:f>
        <x:v>18112000</x:v>
      </x:c>
      <x:c r="F21" s="115"/>
      <x:c r="G21" s="115"/>
    </x:row>
    <x:row r="22">
      <x:c r="A22" s="115"/>
      <x:c r="B22" s="115"/>
      <x:c r="C22" s="115"/>
      <x:c r="D22" s="192"/>
      <x:c r="E22" s="169"/>
      <x:c r="F22" s="115"/>
      <x:c r="G22" s="115"/>
    </x:row>
    <x:row r="23">
      <x:c r="A23" s="115" t="str">
        <x:v>Base monthly cash OPEX</x:v>
      </x:c>
      <x:c r="B23" s="115"/>
      <x:c r="C23" s="115"/>
      <x:c r="D23" s="192"/>
      <x:c r="E23" s="169" t="n">
        <x:f>'Scenario Summary'!D20/12</x:f>
        <x:v>687262.5041666667</x:v>
      </x:c>
      <x:c r="F23" s="115"/>
      <x:c r="G23" s="115"/>
    </x:row>
    <x:row r="24">
      <x:c r="A24" s="115" t="str">
        <x:v>Working-capital reserve (base months)</x:v>
      </x:c>
      <x:c r="B24" s="115"/>
      <x:c r="C24" s="115"/>
      <x:c r="D24" s="192"/>
      <x:c r="E24" s="169" t="n">
        <x:f>E23*'Assumptions'!D27</x:f>
        <x:v>2749050.0166666666</x:v>
      </x:c>
      <x:c r="F24" s="115"/>
      <x:c r="G24" s="115"/>
    </x:row>
    <x:row r="25">
      <x:c r="A25" s="115" t="str">
        <x:v>Buyer receivable buffer (base)</x:v>
      </x:c>
      <x:c r="B25" s="115"/>
      <x:c r="C25" s="115"/>
      <x:c r="D25" s="192"/>
      <x:c r="E25" s="169" t="n">
        <x:f>'Scenario Summary'!D9*'Assumptions'!D26/365</x:f>
        <x:v>737685</x:v>
      </x:c>
      <x:c r="F25" s="115"/>
      <x:c r="G25" s="115"/>
    </x:row>
    <x:row r="26">
      <x:c r="A26" s="115" t="str">
        <x:v>Initial feed inventory / establishment allowance</x:v>
      </x:c>
      <x:c r="B26" s="115"/>
      <x:c r="C26" s="115"/>
      <x:c r="D26" s="192"/>
      <x:c r="E26" s="193" t="n">
        <x:v>2000000</x:v>
      </x:c>
      <x:c r="F26" s="115"/>
      <x:c r="G26" s="115"/>
    </x:row>
    <x:row r="27">
      <x:c r="A27" s="194" t="str">
        <x:v>Total screening funding envelope</x:v>
      </x:c>
      <x:c r="B27" s="194"/>
      <x:c r="C27" s="194"/>
      <x:c r="D27" s="195"/>
      <x:c r="E27" s="196" t="n">
        <x:f>SUM(E21,E24:E26)</x:f>
        <x:v>23598735.016666666</x:v>
      </x:c>
      <x:c r="F27" s="115"/>
      <x:c r="G27" s="115"/>
    </x:row>
    <x:row r="28">
      <x:c r="A28" s="170"/>
      <x:c r="B28" s="170"/>
      <x:c r="C28" s="170"/>
      <x:c r="D28" s="191"/>
      <x:c r="E28" s="171"/>
      <x:c r="F28" s="115"/>
      <x:c r="G28" s="115"/>
    </x:row>
    <x:row r="29">
      <x:c r="A29" s="170" t="str">
        <x:v>Base debt funding</x:v>
      </x:c>
      <x:c r="B29" s="170"/>
      <x:c r="C29" s="170"/>
      <x:c r="D29" s="191"/>
      <x:c r="E29" s="171" t="n">
        <x:f>E27*'Assumptions'!D22</x:f>
        <x:v>9439494.006666666</x:v>
      </x:c>
      <x:c r="F29" s="115"/>
      <x:c r="G29" s="115"/>
    </x:row>
    <x:row r="30">
      <x:c r="A30" s="170" t="str">
        <x:v>Base equity funding</x:v>
      </x:c>
      <x:c r="B30" s="170"/>
      <x:c r="C30" s="170"/>
      <x:c r="D30" s="191"/>
      <x:c r="E30" s="171" t="n">
        <x:f>E27-E29</x:f>
        <x:v>14159241.01</x:v>
      </x:c>
      <x:c r="F30" s="115"/>
      <x:c r="G30" s="115"/>
    </x:row>
  </x:sheetData>
  <x:mergeCells>
    <x:mergeCell ref="A1:G2"/>
    <x:mergeCell ref="A19:D19"/>
    <x:mergeCell ref="A20:D20"/>
    <x:mergeCell ref="A21:D21"/>
    <x:mergeCell ref="A23:D23"/>
    <x:mergeCell ref="A24:D24"/>
    <x:mergeCell ref="A25:D25"/>
    <x:mergeCell ref="A26:D26"/>
    <x:mergeCell ref="A27:D27"/>
    <x:mergeCell ref="A29:D29"/>
    <x:mergeCell ref="A30:D3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2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0" customHeight="1">
      <x:c r="A1" s="111" t="str">
        <x:v>Base Case — 12-Month Operating Cash Flow</x:v>
      </x:c>
      <x:c r="B1" s="111"/>
      <x:c r="C1" s="111"/>
      <x:c r="D1" s="111"/>
      <x:c r="E1" s="111"/>
      <x:c r="F1" s="111"/>
      <x:c r="G1" s="111"/>
      <x:c r="H1" s="111"/>
      <x:c r="I1" s="111"/>
      <x:c r="J1" s="111"/>
      <x:c r="K1" s="111"/>
      <x:c r="L1" s="111"/>
      <x:c r="M1" s="111"/>
      <x:c r="N1" s="111"/>
    </x:row>
    <x:row r="2" ht="30" customHeight="1">
      <x:c r="A2" s="111"/>
      <x:c r="B2" s="111"/>
      <x:c r="C2" s="111"/>
      <x:c r="D2" s="111"/>
      <x:c r="E2" s="111"/>
      <x:c r="F2" s="111"/>
      <x:c r="G2" s="111"/>
      <x:c r="H2" s="111"/>
      <x:c r="I2" s="111"/>
      <x:c r="J2" s="111"/>
      <x:c r="K2" s="111"/>
      <x:c r="L2" s="111"/>
      <x:c r="M2" s="111"/>
      <x:c r="N2" s="111"/>
    </x:row>
    <x:row r="3">
      <x:c r="A3" s="112"/>
      <x:c r="B3" s="112"/>
      <x:c r="C3" s="112"/>
      <x:c r="D3" s="112"/>
      <x:c r="E3" s="112"/>
      <x:c r="F3" s="112"/>
      <x:c r="G3" s="112"/>
      <x:c r="H3" s="112"/>
      <x:c r="I3" s="112"/>
      <x:c r="J3" s="112"/>
      <x:c r="K3" s="112"/>
      <x:c r="L3" s="112"/>
      <x:c r="M3" s="112"/>
      <x:c r="N3" s="112"/>
    </x:row>
    <x:row r="4">
      <x:c r="A4" s="143" t="str">
        <x:v>Metric</x:v>
      </x:c>
      <x:c r="B4" s="144" t="str">
        <x:v>Units</x:v>
      </x:c>
      <x:c r="C4" s="144" t="str">
        <x:v>M1</x:v>
      </x:c>
      <x:c r="D4" s="144" t="str">
        <x:v>M2</x:v>
      </x:c>
      <x:c r="E4" s="144" t="str">
        <x:v>M3</x:v>
      </x:c>
      <x:c r="F4" s="144" t="str">
        <x:v>M4</x:v>
      </x:c>
      <x:c r="G4" s="144" t="str">
        <x:v>M5</x:v>
      </x:c>
      <x:c r="H4" s="144" t="str">
        <x:v>M6</x:v>
      </x:c>
      <x:c r="I4" s="144" t="str">
        <x:v>M7</x:v>
      </x:c>
      <x:c r="J4" s="144" t="str">
        <x:v>M8</x:v>
      </x:c>
      <x:c r="K4" s="144" t="str">
        <x:v>M9</x:v>
      </x:c>
      <x:c r="L4" s="144" t="str">
        <x:v>M10</x:v>
      </x:c>
      <x:c r="M4" s="144" t="str">
        <x:v>M11</x:v>
      </x:c>
      <x:c r="N4" s="145" t="str">
        <x:v>M12</x:v>
      </x:c>
    </x:row>
    <x:row r="5">
      <x:c r="A5" s="112" t="str">
        <x:v>Production ramp</x:v>
      </x:c>
      <x:c r="B5" s="112" t="str">
        <x:v>% steady state</x:v>
      </x:c>
      <x:c r="C5" s="203" t="n">
        <x:v>0.8</x:v>
      </x:c>
      <x:c r="D5" s="203" t="n">
        <x:v>0.9</x:v>
      </x:c>
      <x:c r="E5" s="203" t="n">
        <x:v>0.95</x:v>
      </x:c>
      <x:c r="F5" s="203" t="n">
        <x:v>1</x:v>
      </x:c>
      <x:c r="G5" s="203" t="n">
        <x:v>1</x:v>
      </x:c>
      <x:c r="H5" s="203" t="n">
        <x:v>1</x:v>
      </x:c>
      <x:c r="I5" s="203" t="n">
        <x:v>1</x:v>
      </x:c>
      <x:c r="J5" s="203" t="n">
        <x:v>1</x:v>
      </x:c>
      <x:c r="K5" s="203" t="n">
        <x:v>1</x:v>
      </x:c>
      <x:c r="L5" s="203" t="n">
        <x:v>1</x:v>
      </x:c>
      <x:c r="M5" s="203" t="n">
        <x:v>1</x:v>
      </x:c>
      <x:c r="N5" s="203" t="n">
        <x:v>1</x:v>
      </x:c>
    </x:row>
    <x:row r="6">
      <x:c r="A6" s="112" t="str">
        <x:v>Saleable milk</x:v>
      </x:c>
      <x:c r="B6" s="112" t="str">
        <x:v>L</x:v>
      </x:c>
      <x:c r="C6" s="204" t="n">
        <x:f>'Scenario Summary'!D8/12*C5</x:f>
        <x:v>9205.300000000001</x:v>
      </x:c>
      <x:c r="D6" s="204" t="n">
        <x:f>'Scenario Summary'!D8/12*D5</x:f>
        <x:v>10355.9625</x:v>
      </x:c>
      <x:c r="E6" s="204" t="n">
        <x:f>'Scenario Summary'!D8/12*E5</x:f>
        <x:v>10931.293749999999</x:v>
      </x:c>
      <x:c r="F6" s="204" t="n">
        <x:f>'Scenario Summary'!D8/12*F5</x:f>
        <x:v>11506.625</x:v>
      </x:c>
      <x:c r="G6" s="204" t="n">
        <x:f>'Scenario Summary'!D8/12*G5</x:f>
        <x:v>11506.625</x:v>
      </x:c>
      <x:c r="H6" s="204" t="n">
        <x:f>'Scenario Summary'!D8/12*H5</x:f>
        <x:v>11506.625</x:v>
      </x:c>
      <x:c r="I6" s="204" t="n">
        <x:f>'Scenario Summary'!D8/12*I5</x:f>
        <x:v>11506.625</x:v>
      </x:c>
      <x:c r="J6" s="204" t="n">
        <x:f>'Scenario Summary'!D8/12*J5</x:f>
        <x:v>11506.625</x:v>
      </x:c>
      <x:c r="K6" s="204" t="n">
        <x:f>'Scenario Summary'!D8/12*K5</x:f>
        <x:v>11506.625</x:v>
      </x:c>
      <x:c r="L6" s="204" t="n">
        <x:f>'Scenario Summary'!D8/12*L5</x:f>
        <x:v>11506.625</x:v>
      </x:c>
      <x:c r="M6" s="204" t="n">
        <x:f>'Scenario Summary'!D8/12*M5</x:f>
        <x:v>11506.625</x:v>
      </x:c>
      <x:c r="N6" s="204" t="n">
        <x:f>'Scenario Summary'!D8/12*N5</x:f>
        <x:v>11506.625</x:v>
      </x:c>
    </x:row>
    <x:row r="7">
      <x:c r="A7" s="112" t="str">
        <x:v>Milk revenue</x:v>
      </x:c>
      <x:c r="B7" s="112" t="str">
        <x:v>NPR</x:v>
      </x:c>
      <x:c r="C7" s="204" t="n">
        <x:f>C6*'Assumptions'!D9</x:f>
        <x:v>598344.5000000001</x:v>
      </x:c>
      <x:c r="D7" s="204" t="n">
        <x:f>D6*'Assumptions'!D9</x:f>
        <x:v>673137.5625</x:v>
      </x:c>
      <x:c r="E7" s="204" t="n">
        <x:f>E6*'Assumptions'!D9</x:f>
        <x:v>710534.0937499999</x:v>
      </x:c>
      <x:c r="F7" s="204" t="n">
        <x:f>F6*'Assumptions'!D9</x:f>
        <x:v>747930.625</x:v>
      </x:c>
      <x:c r="G7" s="204" t="n">
        <x:f>G6*'Assumptions'!D9</x:f>
        <x:v>747930.625</x:v>
      </x:c>
      <x:c r="H7" s="204" t="n">
        <x:f>H6*'Assumptions'!D9</x:f>
        <x:v>747930.625</x:v>
      </x:c>
      <x:c r="I7" s="204" t="n">
        <x:f>I6*'Assumptions'!D9</x:f>
        <x:v>747930.625</x:v>
      </x:c>
      <x:c r="J7" s="204" t="n">
        <x:f>J6*'Assumptions'!D9</x:f>
        <x:v>747930.625</x:v>
      </x:c>
      <x:c r="K7" s="204" t="n">
        <x:f>K6*'Assumptions'!D9</x:f>
        <x:v>747930.625</x:v>
      </x:c>
      <x:c r="L7" s="204" t="n">
        <x:f>L6*'Assumptions'!D9</x:f>
        <x:v>747930.625</x:v>
      </x:c>
      <x:c r="M7" s="204" t="n">
        <x:f>M6*'Assumptions'!D9</x:f>
        <x:v>747930.625</x:v>
      </x:c>
      <x:c r="N7" s="204" t="n">
        <x:f>N6*'Assumptions'!D9</x:f>
        <x:v>747930.625</x:v>
      </x:c>
    </x:row>
    <x:row r="8">
      <x:c r="A8" s="112" t="str">
        <x:v>Other income</x:v>
      </x:c>
      <x:c r="B8" s="112" t="str">
        <x:v>NPR</x:v>
      </x:c>
      <x:c r="C8" s="204" t="n">
        <x:f>C7*'Assumptions'!D10</x:f>
        <x:v>17950.335000000003</x:v>
      </x:c>
      <x:c r="D8" s="204" t="n">
        <x:f>D7*'Assumptions'!D10</x:f>
        <x:v>20194.126874999998</x:v>
      </x:c>
      <x:c r="E8" s="204" t="n">
        <x:f>E7*'Assumptions'!D10</x:f>
        <x:v>21316.022812499996</x:v>
      </x:c>
      <x:c r="F8" s="204" t="n">
        <x:f>F7*'Assumptions'!D10</x:f>
        <x:v>22437.91875</x:v>
      </x:c>
      <x:c r="G8" s="204" t="n">
        <x:f>G7*'Assumptions'!D10</x:f>
        <x:v>22437.91875</x:v>
      </x:c>
      <x:c r="H8" s="204" t="n">
        <x:f>H7*'Assumptions'!D10</x:f>
        <x:v>22437.91875</x:v>
      </x:c>
      <x:c r="I8" s="204" t="n">
        <x:f>I7*'Assumptions'!D10</x:f>
        <x:v>22437.91875</x:v>
      </x:c>
      <x:c r="J8" s="204" t="n">
        <x:f>J7*'Assumptions'!D10</x:f>
        <x:v>22437.91875</x:v>
      </x:c>
      <x:c r="K8" s="204" t="n">
        <x:f>K7*'Assumptions'!D10</x:f>
        <x:v>22437.91875</x:v>
      </x:c>
      <x:c r="L8" s="204" t="n">
        <x:f>L7*'Assumptions'!D10</x:f>
        <x:v>22437.91875</x:v>
      </x:c>
      <x:c r="M8" s="204" t="n">
        <x:f>M7*'Assumptions'!D10</x:f>
        <x:v>22437.91875</x:v>
      </x:c>
      <x:c r="N8" s="204" t="n">
        <x:f>N7*'Assumptions'!D10</x:f>
        <x:v>22437.91875</x:v>
      </x:c>
    </x:row>
    <x:row r="9">
      <x:c r="A9" s="117" t="str">
        <x:v>Total operating revenue</x:v>
      </x:c>
      <x:c r="B9" s="117" t="str">
        <x:v>NPR</x:v>
      </x:c>
      <x:c r="C9" s="205" t="n">
        <x:f>SUM(C7:C8)</x:f>
        <x:v>616294.8350000001</x:v>
      </x:c>
      <x:c r="D9" s="205" t="n">
        <x:f>SUM(D7:D8)</x:f>
        <x:v>693331.689375</x:v>
      </x:c>
      <x:c r="E9" s="205" t="n">
        <x:f>SUM(E7:E8)</x:f>
        <x:v>731850.1165624999</x:v>
      </x:c>
      <x:c r="F9" s="205" t="n">
        <x:f>SUM(F7:F8)</x:f>
        <x:v>770368.54375</x:v>
      </x:c>
      <x:c r="G9" s="205" t="n">
        <x:f>SUM(G7:G8)</x:f>
        <x:v>770368.54375</x:v>
      </x:c>
      <x:c r="H9" s="205" t="n">
        <x:f>SUM(H7:H8)</x:f>
        <x:v>770368.54375</x:v>
      </x:c>
      <x:c r="I9" s="205" t="n">
        <x:f>SUM(I7:I8)</x:f>
        <x:v>770368.54375</x:v>
      </x:c>
      <x:c r="J9" s="205" t="n">
        <x:f>SUM(J7:J8)</x:f>
        <x:v>770368.54375</x:v>
      </x:c>
      <x:c r="K9" s="205" t="n">
        <x:f>SUM(K7:K8)</x:f>
        <x:v>770368.54375</x:v>
      </x:c>
      <x:c r="L9" s="205" t="n">
        <x:f>SUM(L7:L8)</x:f>
        <x:v>770368.54375</x:v>
      </x:c>
      <x:c r="M9" s="205" t="n">
        <x:f>SUM(M7:M8)</x:f>
        <x:v>770368.54375</x:v>
      </x:c>
      <x:c r="N9" s="205" t="n">
        <x:f>SUM(N7:N8)</x:f>
        <x:v>770368.54375</x:v>
      </x:c>
    </x:row>
    <x:row r="10">
      <x:c r="A10" s="112" t="str">
        <x:v>Cash OPEX</x:v>
      </x:c>
      <x:c r="B10" s="112" t="str">
        <x:v>NPR</x:v>
      </x:c>
      <x:c r="C10" s="204" t="n">
        <x:f>'Scenario Summary'!D20/12</x:f>
        <x:v>687262.5041666667</x:v>
      </x:c>
      <x:c r="D10" s="204" t="n">
        <x:f>'Scenario Summary'!D20/12</x:f>
        <x:v>687262.5041666667</x:v>
      </x:c>
      <x:c r="E10" s="204" t="n">
        <x:f>'Scenario Summary'!D20/12</x:f>
        <x:v>687262.5041666667</x:v>
      </x:c>
      <x:c r="F10" s="204" t="n">
        <x:f>'Scenario Summary'!D20/12</x:f>
        <x:v>687262.5041666667</x:v>
      </x:c>
      <x:c r="G10" s="204" t="n">
        <x:f>'Scenario Summary'!D20/12</x:f>
        <x:v>687262.5041666667</x:v>
      </x:c>
      <x:c r="H10" s="204" t="n">
        <x:f>'Scenario Summary'!D20/12</x:f>
        <x:v>687262.5041666667</x:v>
      </x:c>
      <x:c r="I10" s="204" t="n">
        <x:f>'Scenario Summary'!D20/12</x:f>
        <x:v>687262.5041666667</x:v>
      </x:c>
      <x:c r="J10" s="204" t="n">
        <x:f>'Scenario Summary'!D20/12</x:f>
        <x:v>687262.5041666667</x:v>
      </x:c>
      <x:c r="K10" s="204" t="n">
        <x:f>'Scenario Summary'!D20/12</x:f>
        <x:v>687262.5041666667</x:v>
      </x:c>
      <x:c r="L10" s="204" t="n">
        <x:f>'Scenario Summary'!D20/12</x:f>
        <x:v>687262.5041666667</x:v>
      </x:c>
      <x:c r="M10" s="204" t="n">
        <x:f>'Scenario Summary'!D20/12</x:f>
        <x:v>687262.5041666667</x:v>
      </x:c>
      <x:c r="N10" s="204" t="n">
        <x:f>'Scenario Summary'!D20/12</x:f>
        <x:v>687262.5041666667</x:v>
      </x:c>
    </x:row>
    <x:row r="11">
      <x:c r="A11" s="117" t="str">
        <x:v>EBITDA</x:v>
      </x:c>
      <x:c r="B11" s="117" t="str">
        <x:v>NPR</x:v>
      </x:c>
      <x:c r="C11" s="205" t="n">
        <x:f>C9-C10</x:f>
        <x:v>-70967.66916666657</x:v>
      </x:c>
      <x:c r="D11" s="205" t="n">
        <x:f>D9-D10</x:f>
        <x:v>6069.185208333307</x:v>
      </x:c>
      <x:c r="E11" s="205" t="n">
        <x:f>E9-E10</x:f>
        <x:v>44587.61239583325</x:v>
      </x:c>
      <x:c r="F11" s="205" t="n">
        <x:f>F9-F10</x:f>
        <x:v>83106.0395833333</x:v>
      </x:c>
      <x:c r="G11" s="205" t="n">
        <x:f>G9-G10</x:f>
        <x:v>83106.0395833333</x:v>
      </x:c>
      <x:c r="H11" s="205" t="n">
        <x:f>H9-H10</x:f>
        <x:v>83106.0395833333</x:v>
      </x:c>
      <x:c r="I11" s="205" t="n">
        <x:f>I9-I10</x:f>
        <x:v>83106.0395833333</x:v>
      </x:c>
      <x:c r="J11" s="205" t="n">
        <x:f>J9-J10</x:f>
        <x:v>83106.0395833333</x:v>
      </x:c>
      <x:c r="K11" s="205" t="n">
        <x:f>K9-K10</x:f>
        <x:v>83106.0395833333</x:v>
      </x:c>
      <x:c r="L11" s="205" t="n">
        <x:f>L9-L10</x:f>
        <x:v>83106.0395833333</x:v>
      </x:c>
      <x:c r="M11" s="205" t="n">
        <x:f>M9-M10</x:f>
        <x:v>83106.0395833333</x:v>
      </x:c>
      <x:c r="N11" s="205" t="n">
        <x:f>N9-N10</x:f>
        <x:v>83106.0395833333</x:v>
      </x:c>
    </x:row>
    <x:row r="12">
      <x:c r="A12" s="112" t="str">
        <x:v>Debt service</x:v>
      </x:c>
      <x:c r="B12" s="112" t="str">
        <x:v>NPR</x:v>
      </x:c>
      <x:c r="C12" s="204" t="n">
        <x:f>'Debt Schedule'!F7</x:f>
        <x:v>142744.28765403625</x:v>
      </x:c>
      <x:c r="D12" s="204" t="n">
        <x:f>'Debt Schedule'!F8</x:f>
        <x:v>142744.28765403625</x:v>
      </x:c>
      <x:c r="E12" s="204" t="n">
        <x:f>'Debt Schedule'!F9</x:f>
        <x:v>142744.28765403625</x:v>
      </x:c>
      <x:c r="F12" s="204" t="n">
        <x:f>'Debt Schedule'!F10</x:f>
        <x:v>142744.28765403625</x:v>
      </x:c>
      <x:c r="G12" s="204" t="n">
        <x:f>'Debt Schedule'!F11</x:f>
        <x:v>142744.28765403625</x:v>
      </x:c>
      <x:c r="H12" s="204" t="n">
        <x:f>'Debt Schedule'!F12</x:f>
        <x:v>142744.28765403625</x:v>
      </x:c>
      <x:c r="I12" s="204" t="n">
        <x:f>'Debt Schedule'!F13</x:f>
        <x:v>142744.28765403625</x:v>
      </x:c>
      <x:c r="J12" s="204" t="n">
        <x:f>'Debt Schedule'!F14</x:f>
        <x:v>142744.28765403625</x:v>
      </x:c>
      <x:c r="K12" s="204" t="n">
        <x:f>'Debt Schedule'!F15</x:f>
        <x:v>142744.28765403625</x:v>
      </x:c>
      <x:c r="L12" s="204" t="n">
        <x:f>'Debt Schedule'!F16</x:f>
        <x:v>142744.28765403625</x:v>
      </x:c>
      <x:c r="M12" s="204" t="n">
        <x:f>'Debt Schedule'!F17</x:f>
        <x:v>142744.28765403625</x:v>
      </x:c>
      <x:c r="N12" s="204" t="n">
        <x:f>'Debt Schedule'!F18</x:f>
        <x:v>142744.28765403625</x:v>
      </x:c>
    </x:row>
    <x:row r="13">
      <x:c r="A13" s="112" t="str">
        <x:v>Operating cash after debt</x:v>
      </x:c>
      <x:c r="B13" s="112" t="str">
        <x:v>NPR</x:v>
      </x:c>
      <x:c r="C13" s="204" t="n">
        <x:f>C11-C12</x:f>
        <x:v>-213711.95682070282</x:v>
      </x:c>
      <x:c r="D13" s="204" t="n">
        <x:f>D11-D12</x:f>
        <x:v>-136675.10244570294</x:v>
      </x:c>
      <x:c r="E13" s="204" t="n">
        <x:f>E11-E12</x:f>
        <x:v>-98156.675258203</x:v>
      </x:c>
      <x:c r="F13" s="204" t="n">
        <x:f>F11-F12</x:f>
        <x:v>-59638.248070702946</x:v>
      </x:c>
      <x:c r="G13" s="204" t="n">
        <x:f>G11-G12</x:f>
        <x:v>-59638.248070702946</x:v>
      </x:c>
      <x:c r="H13" s="204" t="n">
        <x:f>H11-H12</x:f>
        <x:v>-59638.248070702946</x:v>
      </x:c>
      <x:c r="I13" s="204" t="n">
        <x:f>I11-I12</x:f>
        <x:v>-59638.248070702946</x:v>
      </x:c>
      <x:c r="J13" s="204" t="n">
        <x:f>J11-J12</x:f>
        <x:v>-59638.248070702946</x:v>
      </x:c>
      <x:c r="K13" s="204" t="n">
        <x:f>K11-K12</x:f>
        <x:v>-59638.248070702946</x:v>
      </x:c>
      <x:c r="L13" s="204" t="n">
        <x:f>L11-L12</x:f>
        <x:v>-59638.248070702946</x:v>
      </x:c>
      <x:c r="M13" s="204" t="n">
        <x:f>M11-M12</x:f>
        <x:v>-59638.248070702946</x:v>
      </x:c>
      <x:c r="N13" s="204" t="n">
        <x:f>N11-N12</x:f>
        <x:v>-59638.248070702946</x:v>
      </x:c>
    </x:row>
    <x:row r="14">
      <x:c r="A14" s="112" t="str">
        <x:v>Closing milk receivable</x:v>
      </x:c>
      <x:c r="B14" s="112" t="str">
        <x:v>NPR</x:v>
      </x:c>
      <x:c r="C14" s="204" t="n">
        <x:f>C7*'Assumptions'!D26/30</x:f>
        <x:v>598344.5000000001</x:v>
      </x:c>
      <x:c r="D14" s="204" t="n">
        <x:f>D7*'Assumptions'!D26/30</x:f>
        <x:v>673137.5625</x:v>
      </x:c>
      <x:c r="E14" s="204" t="n">
        <x:f>E7*'Assumptions'!D26/30</x:f>
        <x:v>710534.0937499999</x:v>
      </x:c>
      <x:c r="F14" s="204" t="n">
        <x:f>F7*'Assumptions'!D26/30</x:f>
        <x:v>747930.625</x:v>
      </x:c>
      <x:c r="G14" s="204" t="n">
        <x:f>G7*'Assumptions'!D26/30</x:f>
        <x:v>747930.625</x:v>
      </x:c>
      <x:c r="H14" s="204" t="n">
        <x:f>H7*'Assumptions'!D26/30</x:f>
        <x:v>747930.625</x:v>
      </x:c>
      <x:c r="I14" s="204" t="n">
        <x:f>I7*'Assumptions'!D26/30</x:f>
        <x:v>747930.625</x:v>
      </x:c>
      <x:c r="J14" s="204" t="n">
        <x:f>J7*'Assumptions'!D26/30</x:f>
        <x:v>747930.625</x:v>
      </x:c>
      <x:c r="K14" s="204" t="n">
        <x:f>K7*'Assumptions'!D26/30</x:f>
        <x:v>747930.625</x:v>
      </x:c>
      <x:c r="L14" s="204" t="n">
        <x:f>L7*'Assumptions'!D26/30</x:f>
        <x:v>747930.625</x:v>
      </x:c>
      <x:c r="M14" s="204" t="n">
        <x:f>M7*'Assumptions'!D26/30</x:f>
        <x:v>747930.625</x:v>
      </x:c>
      <x:c r="N14" s="204" t="n">
        <x:f>N7*'Assumptions'!D26/30</x:f>
        <x:v>747930.625</x:v>
      </x:c>
    </x:row>
    <x:row r="15">
      <x:c r="A15" s="112" t="str">
        <x:v>Change in receivable</x:v>
      </x:c>
      <x:c r="B15" s="112" t="str">
        <x:v>NPR</x:v>
      </x:c>
      <x:c r="C15" s="204" t="n">
        <x:f>C14</x:f>
        <x:v>598344.5000000001</x:v>
      </x:c>
      <x:c r="D15" s="204" t="n">
        <x:f>D14-C14</x:f>
        <x:v>74793.06249999988</x:v>
      </x:c>
      <x:c r="E15" s="204" t="n">
        <x:f>E14-D14</x:f>
        <x:v>37396.53124999988</x:v>
      </x:c>
      <x:c r="F15" s="204" t="n">
        <x:f>F14-E14</x:f>
        <x:v>37396.53125000012</x:v>
      </x:c>
      <x:c r="G15" s="204" t="n">
        <x:f>G14-F14</x:f>
        <x:v>0</x:v>
      </x:c>
      <x:c r="H15" s="204" t="n">
        <x:f>H14-G14</x:f>
        <x:v>0</x:v>
      </x:c>
      <x:c r="I15" s="204" t="n">
        <x:f>I14-H14</x:f>
        <x:v>0</x:v>
      </x:c>
      <x:c r="J15" s="204" t="n">
        <x:f>J14-I14</x:f>
        <x:v>0</x:v>
      </x:c>
      <x:c r="K15" s="204" t="n">
        <x:f>K14-J14</x:f>
        <x:v>0</x:v>
      </x:c>
      <x:c r="L15" s="204" t="n">
        <x:f>L14-K14</x:f>
        <x:v>0</x:v>
      </x:c>
      <x:c r="M15" s="204" t="n">
        <x:f>M14-L14</x:f>
        <x:v>0</x:v>
      </x:c>
      <x:c r="N15" s="204" t="n">
        <x:f>N14-M14</x:f>
        <x:v>0</x:v>
      </x:c>
    </x:row>
    <x:row r="16">
      <x:c r="A16" s="117" t="str">
        <x:v>Operating cash after working capital</x:v>
      </x:c>
      <x:c r="B16" s="117" t="str">
        <x:v>NPR</x:v>
      </x:c>
      <x:c r="C16" s="205" t="n">
        <x:f>C13-C15</x:f>
        <x:v>-812056.4568207029</x:v>
      </x:c>
      <x:c r="D16" s="205" t="n">
        <x:f>D13-D15</x:f>
        <x:v>-211468.16494570283</x:v>
      </x:c>
      <x:c r="E16" s="205" t="n">
        <x:f>E13-E15</x:f>
        <x:v>-135553.2065082029</x:v>
      </x:c>
      <x:c r="F16" s="205" t="n">
        <x:f>F13-F15</x:f>
        <x:v>-97034.77932070306</x:v>
      </x:c>
      <x:c r="G16" s="205" t="n">
        <x:f>G13-G15</x:f>
        <x:v>-59638.248070702946</x:v>
      </x:c>
      <x:c r="H16" s="205" t="n">
        <x:f>H13-H15</x:f>
        <x:v>-59638.248070702946</x:v>
      </x:c>
      <x:c r="I16" s="205" t="n">
        <x:f>I13-I15</x:f>
        <x:v>-59638.248070702946</x:v>
      </x:c>
      <x:c r="J16" s="205" t="n">
        <x:f>J13-J15</x:f>
        <x:v>-59638.248070702946</x:v>
      </x:c>
      <x:c r="K16" s="205" t="n">
        <x:f>K13-K15</x:f>
        <x:v>-59638.248070702946</x:v>
      </x:c>
      <x:c r="L16" s="205" t="n">
        <x:f>L13-L15</x:f>
        <x:v>-59638.248070702946</x:v>
      </x:c>
      <x:c r="M16" s="205" t="n">
        <x:f>M13-M15</x:f>
        <x:v>-59638.248070702946</x:v>
      </x:c>
      <x:c r="N16" s="205" t="n">
        <x:f>N13-N15</x:f>
        <x:v>-59638.248070702946</x:v>
      </x:c>
    </x:row>
    <x:row r="17">
      <x:c r="A17" s="117" t="str">
        <x:v>Cumulative operating cash</x:v>
      </x:c>
      <x:c r="B17" s="117" t="str">
        <x:v>NPR</x:v>
      </x:c>
      <x:c r="C17" s="205" t="n">
        <x:f>C16</x:f>
        <x:v>-812056.4568207029</x:v>
      </x:c>
      <x:c r="D17" s="205" t="n">
        <x:f>C17+D16</x:f>
        <x:v>-1023524.6217664056</x:v>
      </x:c>
      <x:c r="E17" s="205" t="n">
        <x:f>D17+E16</x:f>
        <x:v>-1159077.8282746086</x:v>
      </x:c>
      <x:c r="F17" s="205" t="n">
        <x:f>E17+F16</x:f>
        <x:v>-1256112.6075953117</x:v>
      </x:c>
      <x:c r="G17" s="205" t="n">
        <x:f>F17+G16</x:f>
        <x:v>-1315750.8556660146</x:v>
      </x:c>
      <x:c r="H17" s="205" t="n">
        <x:f>G17+H16</x:f>
        <x:v>-1375389.1037367175</x:v>
      </x:c>
      <x:c r="I17" s="205" t="n">
        <x:f>H17+I16</x:f>
        <x:v>-1435027.3518074204</x:v>
      </x:c>
      <x:c r="J17" s="205" t="n">
        <x:f>I17+J16</x:f>
        <x:v>-1494665.5998781233</x:v>
      </x:c>
      <x:c r="K17" s="205" t="n">
        <x:f>J17+K16</x:f>
        <x:v>-1554303.8479488262</x:v>
      </x:c>
      <x:c r="L17" s="205" t="n">
        <x:f>K17+L16</x:f>
        <x:v>-1613942.096019529</x:v>
      </x:c>
      <x:c r="M17" s="205" t="n">
        <x:f>L17+M16</x:f>
        <x:v>-1673580.344090232</x:v>
      </x:c>
      <x:c r="N17" s="205" t="n">
        <x:f>M17+N16</x:f>
        <x:v>-1733218.5921609348</x:v>
      </x:c>
    </x:row>
  </x:sheetData>
  <x:mergeCells>
    <x:mergeCell ref="A1:N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30" customHeight="1">
      <x:c r="A1" s="111" t="str">
        <x:v>Base Debt Schedule — Gross Rate, No Interest Subsidy</x:v>
      </x:c>
      <x:c r="B1" s="111"/>
      <x:c r="C1" s="111"/>
      <x:c r="D1" s="111"/>
      <x:c r="E1" s="111"/>
      <x:c r="F1" s="111"/>
      <x:c r="G1" s="111"/>
    </x:row>
    <x:row r="2" ht="30" customHeight="1">
      <x:c r="A2" s="111"/>
      <x:c r="B2" s="111"/>
      <x:c r="C2" s="111"/>
      <x:c r="D2" s="111"/>
      <x:c r="E2" s="111"/>
      <x:c r="F2" s="111"/>
      <x:c r="G2" s="111"/>
    </x:row>
    <x:row r="3">
      <x:c r="A3" s="112"/>
      <x:c r="B3" s="112"/>
      <x:c r="C3" s="112"/>
      <x:c r="D3" s="112"/>
      <x:c r="E3" s="112"/>
      <x:c r="F3" s="112"/>
      <x:c r="G3" s="112"/>
    </x:row>
    <x:row r="4">
      <x:c r="A4" s="143" t="str">
        <x:v>Month</x:v>
      </x:c>
      <x:c r="B4" s="144" t="str">
        <x:v>Beginning debt</x:v>
      </x:c>
      <x:c r="C4" s="144" t="str">
        <x:v>Gross rate / month</x:v>
      </x:c>
      <x:c r="D4" s="144" t="str">
        <x:v>Interest</x:v>
      </x:c>
      <x:c r="E4" s="144" t="str">
        <x:v>Principal</x:v>
      </x:c>
      <x:c r="F4" s="144" t="str">
        <x:v>Debt service</x:v>
      </x:c>
      <x:c r="G4" s="145" t="str">
        <x:v>Ending debt</x:v>
      </x:c>
    </x:row>
    <x:row r="5">
      <x:c r="A5" s="112" t="n">
        <x:v>1</x:v>
      </x:c>
      <x:c r="B5" s="204" t="n">
        <x:f>'CAPEX &amp; Funding'!E29</x:f>
        <x:v>9439494.006666666</x:v>
      </x:c>
      <x:c r="C5" s="208" t="n">
        <x:f>'Assumptions'!D23/12</x:f>
        <x:v>0.005883333333333333</x:v>
      </x:c>
      <x:c r="D5" s="204" t="n">
        <x:f>B5*C5</x:f>
        <x:v>55535.689739222216</x:v>
      </x:c>
      <x:c r="E5" s="204" t="n">
        <x:f>MIN(B5,F5-D5)</x:f>
        <x:v>87208.59791481403</x:v>
      </x:c>
      <x:c r="F5" s="204" t="n">
        <x:f>'Scenario Summary'!$D$27/12</x:f>
        <x:v>142744.28765403625</x:v>
      </x:c>
      <x:c r="G5" s="204" t="n">
        <x:f>MAX(0,B5-E5)</x:f>
        <x:v>9352285.408751851</x:v>
      </x:c>
    </x:row>
    <x:row r="6">
      <x:c r="A6" s="112" t="n">
        <x:v>2</x:v>
      </x:c>
      <x:c r="B6" s="204" t="n">
        <x:f>G5</x:f>
        <x:v>9352285.408751851</x:v>
      </x:c>
      <x:c r="C6" s="208" t="n">
        <x:f>'Assumptions'!D23/12</x:f>
        <x:v>0.005883333333333333</x:v>
      </x:c>
      <x:c r="D6" s="204" t="n">
        <x:f>B6*C6</x:f>
        <x:v>55022.61248815672</x:v>
      </x:c>
      <x:c r="E6" s="204" t="n">
        <x:f>MIN(B6,F6-D6)</x:f>
        <x:v>87721.67516587953</x:v>
      </x:c>
      <x:c r="F6" s="204" t="n">
        <x:f>'Scenario Summary'!$D$27/12</x:f>
        <x:v>142744.28765403625</x:v>
      </x:c>
      <x:c r="G6" s="204" t="n">
        <x:f>MAX(0,B6-E6)</x:f>
        <x:v>9264563.733585972</x:v>
      </x:c>
    </x:row>
    <x:row r="7">
      <x:c r="A7" s="112" t="n">
        <x:v>3</x:v>
      </x:c>
      <x:c r="B7" s="204" t="n">
        <x:f>G6</x:f>
        <x:v>9264563.733585972</x:v>
      </x:c>
      <x:c r="C7" s="208" t="n">
        <x:f>'Assumptions'!D23/12</x:f>
        <x:v>0.005883333333333333</x:v>
      </x:c>
      <x:c r="D7" s="204" t="n">
        <x:f>B7*C7</x:f>
        <x:v>54506.51663259747</x:v>
      </x:c>
      <x:c r="E7" s="204" t="n">
        <x:f>MIN(B7,F7-D7)</x:f>
        <x:v>88237.77102143878</x:v>
      </x:c>
      <x:c r="F7" s="204" t="n">
        <x:f>'Scenario Summary'!$D$27/12</x:f>
        <x:v>142744.28765403625</x:v>
      </x:c>
      <x:c r="G7" s="204" t="n">
        <x:f>MAX(0,B7-E7)</x:f>
        <x:v>9176325.962564534</x:v>
      </x:c>
    </x:row>
    <x:row r="8">
      <x:c r="A8" s="112" t="n">
        <x:v>4</x:v>
      </x:c>
      <x:c r="B8" s="204" t="n">
        <x:f>G7</x:f>
        <x:v>9176325.962564534</x:v>
      </x:c>
      <x:c r="C8" s="208" t="n">
        <x:f>'Assumptions'!D23/12</x:f>
        <x:v>0.005883333333333333</x:v>
      </x:c>
      <x:c r="D8" s="204" t="n">
        <x:f>B8*C8</x:f>
        <x:v>53987.384413088</x:v>
      </x:c>
      <x:c r="E8" s="204" t="n">
        <x:f>MIN(B8,F8-D8)</x:f>
        <x:v>88756.90324094825</x:v>
      </x:c>
      <x:c r="F8" s="204" t="n">
        <x:f>'Scenario Summary'!$D$27/12</x:f>
        <x:v>142744.28765403625</x:v>
      </x:c>
      <x:c r="G8" s="204" t="n">
        <x:f>MAX(0,B8-E8)</x:f>
        <x:v>9087569.059323585</x:v>
      </x:c>
    </x:row>
    <x:row r="9">
      <x:c r="A9" s="112" t="n">
        <x:v>5</x:v>
      </x:c>
      <x:c r="B9" s="204" t="n">
        <x:f>G8</x:f>
        <x:v>9087569.059323585</x:v>
      </x:c>
      <x:c r="C9" s="208" t="n">
        <x:f>'Assumptions'!D23/12</x:f>
        <x:v>0.005883333333333333</x:v>
      </x:c>
      <x:c r="D9" s="204" t="n">
        <x:f>B9*C9</x:f>
        <x:v>53465.19796568709</x:v>
      </x:c>
      <x:c r="E9" s="204" t="n">
        <x:f>MIN(B9,F9-D9)</x:f>
        <x:v>89279.08968834917</x:v>
      </x:c>
      <x:c r="F9" s="204" t="n">
        <x:f>'Scenario Summary'!$D$27/12</x:f>
        <x:v>142744.28765403625</x:v>
      </x:c>
      <x:c r="G9" s="204" t="n">
        <x:f>MAX(0,B9-E9)</x:f>
        <x:v>8998289.969635235</x:v>
      </x:c>
    </x:row>
    <x:row r="10">
      <x:c r="A10" s="112" t="n">
        <x:v>6</x:v>
      </x:c>
      <x:c r="B10" s="204" t="n">
        <x:f>G9</x:f>
        <x:v>8998289.969635235</x:v>
      </x:c>
      <x:c r="C10" s="208" t="n">
        <x:f>'Assumptions'!D23/12</x:f>
        <x:v>0.005883333333333333</x:v>
      </x:c>
      <x:c r="D10" s="204" t="n">
        <x:f>B10*C10</x:f>
        <x:v>52939.939321353966</x:v>
      </x:c>
      <x:c r="E10" s="204" t="n">
        <x:f>MIN(B10,F10-D10)</x:f>
        <x:v>89804.34833268228</x:v>
      </x:c>
      <x:c r="F10" s="204" t="n">
        <x:f>'Scenario Summary'!$D$27/12</x:f>
        <x:v>142744.28765403625</x:v>
      </x:c>
      <x:c r="G10" s="204" t="n">
        <x:f>MAX(0,B10-E10)</x:f>
        <x:v>8908485.621302553</x:v>
      </x:c>
    </x:row>
    <x:row r="11">
      <x:c r="A11" s="112" t="n">
        <x:v>7</x:v>
      </x:c>
      <x:c r="B11" s="204" t="n">
        <x:f>G10</x:f>
        <x:v>8908485.621302553</x:v>
      </x:c>
      <x:c r="C11" s="208" t="n">
        <x:f>'Assumptions'!D23/12</x:f>
        <x:v>0.005883333333333333</x:v>
      </x:c>
      <x:c r="D11" s="204" t="n">
        <x:f>B11*C11</x:f>
        <x:v>52411.59040533002</x:v>
      </x:c>
      <x:c r="E11" s="204" t="n">
        <x:f>MIN(B11,F11-D11)</x:f>
        <x:v>90332.69724870623</x:v>
      </x:c>
      <x:c r="F11" s="204" t="n">
        <x:f>'Scenario Summary'!$D$27/12</x:f>
        <x:v>142744.28765403625</x:v>
      </x:c>
      <x:c r="G11" s="204" t="n">
        <x:f>MAX(0,B11-E11)</x:f>
        <x:v>8818152.924053846</x:v>
      </x:c>
    </x:row>
    <x:row r="12">
      <x:c r="A12" s="112" t="n">
        <x:v>8</x:v>
      </x:c>
      <x:c r="B12" s="204" t="n">
        <x:f>G11</x:f>
        <x:v>8818152.924053846</x:v>
      </x:c>
      <x:c r="C12" s="208" t="n">
        <x:f>'Assumptions'!D23/12</x:f>
        <x:v>0.005883333333333333</x:v>
      </x:c>
      <x:c r="D12" s="204" t="n">
        <x:f>B12*C12</x:f>
        <x:v>51880.133036516796</x:v>
      </x:c>
      <x:c r="E12" s="204" t="n">
        <x:f>MIN(B12,F12-D12)</x:f>
        <x:v>90864.15461751945</x:v>
      </x:c>
      <x:c r="F12" s="204" t="n">
        <x:f>'Scenario Summary'!$D$27/12</x:f>
        <x:v>142744.28765403625</x:v>
      </x:c>
      <x:c r="G12" s="204" t="n">
        <x:f>MAX(0,B12-E12)</x:f>
        <x:v>8727288.769436326</x:v>
      </x:c>
    </x:row>
    <x:row r="13">
      <x:c r="A13" s="112" t="n">
        <x:v>9</x:v>
      </x:c>
      <x:c r="B13" s="204" t="n">
        <x:f>G12</x:f>
        <x:v>8727288.769436326</x:v>
      </x:c>
      <x:c r="C13" s="208" t="n">
        <x:f>'Assumptions'!D23/12</x:f>
        <x:v>0.005883333333333333</x:v>
      </x:c>
      <x:c r="D13" s="204" t="n">
        <x:f>B13*C13</x:f>
        <x:v>51345.54892685038</x:v>
      </x:c>
      <x:c r="E13" s="204" t="n">
        <x:f>MIN(B13,F13-D13)</x:f>
        <x:v>91398.73872718588</x:v>
      </x:c>
      <x:c r="F13" s="204" t="n">
        <x:f>'Scenario Summary'!$D$27/12</x:f>
        <x:v>142744.28765403625</x:v>
      </x:c>
      <x:c r="G13" s="204" t="n">
        <x:f>MAX(0,B13-E13)</x:f>
        <x:v>8635890.03070914</x:v>
      </x:c>
    </x:row>
    <x:row r="14">
      <x:c r="A14" s="112" t="n">
        <x:v>10</x:v>
      </x:c>
      <x:c r="B14" s="204" t="n">
        <x:f>G13</x:f>
        <x:v>8635890.03070914</x:v>
      </x:c>
      <x:c r="C14" s="208" t="n">
        <x:f>'Assumptions'!D23/12</x:f>
        <x:v>0.005883333333333333</x:v>
      </x:c>
      <x:c r="D14" s="204" t="n">
        <x:f>B14*C14</x:f>
        <x:v>50807.81968067211</x:v>
      </x:c>
      <x:c r="E14" s="204" t="n">
        <x:f>MIN(B14,F14-D14)</x:f>
        <x:v>91936.46797336414</x:v>
      </x:c>
      <x:c r="F14" s="204" t="n">
        <x:f>'Scenario Summary'!$D$27/12</x:f>
        <x:v>142744.28765403625</x:v>
      </x:c>
      <x:c r="G14" s="204" t="n">
        <x:f>MAX(0,B14-E14)</x:f>
        <x:v>8543953.562735775</x:v>
      </x:c>
    </x:row>
    <x:row r="15">
      <x:c r="A15" s="112" t="n">
        <x:v>11</x:v>
      </x:c>
      <x:c r="B15" s="204" t="n">
        <x:f>G14</x:f>
        <x:v>8543953.562735775</x:v>
      </x:c>
      <x:c r="C15" s="208" t="n">
        <x:f>'Assumptions'!D23/12</x:f>
        <x:v>0.005883333333333333</x:v>
      </x:c>
      <x:c r="D15" s="204" t="n">
        <x:f>B15*C15</x:f>
        <x:v>50266.92679409548</x:v>
      </x:c>
      <x:c r="E15" s="204" t="n">
        <x:f>MIN(B15,F15-D15)</x:f>
        <x:v>92477.36085994076</x:v>
      </x:c>
      <x:c r="F15" s="204" t="n">
        <x:f>'Scenario Summary'!$D$27/12</x:f>
        <x:v>142744.28765403625</x:v>
      </x:c>
      <x:c r="G15" s="204" t="n">
        <x:f>MAX(0,B15-E15)</x:f>
        <x:v>8451476.201875836</x:v>
      </x:c>
    </x:row>
    <x:row r="16">
      <x:c r="A16" s="112" t="n">
        <x:v>12</x:v>
      </x:c>
      <x:c r="B16" s="204" t="n">
        <x:f>G15</x:f>
        <x:v>8451476.201875836</x:v>
      </x:c>
      <x:c r="C16" s="208" t="n">
        <x:f>'Assumptions'!D23/12</x:f>
        <x:v>0.005883333333333333</x:v>
      </x:c>
      <x:c r="D16" s="204" t="n">
        <x:f>B16*C16</x:f>
        <x:v>49722.8516543695</x:v>
      </x:c>
      <x:c r="E16" s="204" t="n">
        <x:f>MIN(B16,F16-D16)</x:f>
        <x:v>93021.43599966675</x:v>
      </x:c>
      <x:c r="F16" s="204" t="n">
        <x:f>'Scenario Summary'!$D$27/12</x:f>
        <x:v>142744.28765403625</x:v>
      </x:c>
      <x:c r="G16" s="204" t="n">
        <x:f>MAX(0,B16-E16)</x:f>
        <x:v>8358454.765876169</x:v>
      </x:c>
    </x:row>
    <x:row r="17">
      <x:c r="A17" s="112" t="n">
        <x:v>13</x:v>
      </x:c>
      <x:c r="B17" s="204" t="n">
        <x:f>G16</x:f>
        <x:v>8358454.765876169</x:v>
      </x:c>
      <x:c r="C17" s="208" t="n">
        <x:f>'Assumptions'!D23/12</x:f>
        <x:v>0.005883333333333333</x:v>
      </x:c>
      <x:c r="D17" s="204" t="n">
        <x:f>B17*C17</x:f>
        <x:v>49175.57553923813</x:v>
      </x:c>
      <x:c r="E17" s="204" t="n">
        <x:f>MIN(B17,F17-D17)</x:f>
        <x:v>93568.71211479811</x:v>
      </x:c>
      <x:c r="F17" s="204" t="n">
        <x:f>'Scenario Summary'!$D$27/12</x:f>
        <x:v>142744.28765403625</x:v>
      </x:c>
      <x:c r="G17" s="204" t="n">
        <x:f>MAX(0,B17-E17)</x:f>
        <x:v>8264886.053761371</x:v>
      </x:c>
    </x:row>
    <x:row r="18">
      <x:c r="A18" s="112" t="n">
        <x:v>14</x:v>
      </x:c>
      <x:c r="B18" s="204" t="n">
        <x:f>G17</x:f>
        <x:v>8264886.053761371</x:v>
      </x:c>
      <x:c r="C18" s="208" t="n">
        <x:f>'Assumptions'!D23/12</x:f>
        <x:v>0.005883333333333333</x:v>
      </x:c>
      <x:c r="D18" s="204" t="n">
        <x:f>B18*C18</x:f>
        <x:v>48625.07961629607</x:v>
      </x:c>
      <x:c r="E18" s="204" t="n">
        <x:f>MIN(B18,F18-D18)</x:f>
        <x:v>94119.20803774017</x:v>
      </x:c>
      <x:c r="F18" s="204" t="n">
        <x:f>'Scenario Summary'!$D$27/12</x:f>
        <x:v>142744.28765403625</x:v>
      </x:c>
      <x:c r="G18" s="204" t="n">
        <x:f>MAX(0,B18-E18)</x:f>
        <x:v>8170766.845723631</x:v>
      </x:c>
    </x:row>
    <x:row r="19">
      <x:c r="A19" s="112" t="n">
        <x:v>15</x:v>
      </x:c>
      <x:c r="B19" s="204" t="n">
        <x:f>G18</x:f>
        <x:v>8170766.845723631</x:v>
      </x:c>
      <x:c r="C19" s="208" t="n">
        <x:f>'Assumptions'!D23/12</x:f>
        <x:v>0.005883333333333333</x:v>
      </x:c>
      <x:c r="D19" s="204" t="n">
        <x:f>B19*C19</x:f>
        <x:v>48071.34494234069</x:v>
      </x:c>
      <x:c r="E19" s="204" t="n">
        <x:f>MIN(B19,F19-D19)</x:f>
        <x:v>94672.94271169556</x:v>
      </x:c>
      <x:c r="F19" s="204" t="n">
        <x:f>'Scenario Summary'!$D$27/12</x:f>
        <x:v>142744.28765403625</x:v>
      </x:c>
      <x:c r="G19" s="204" t="n">
        <x:f>MAX(0,B19-E19)</x:f>
        <x:v>8076093.903011935</x:v>
      </x:c>
    </x:row>
    <x:row r="20">
      <x:c r="A20" s="112" t="n">
        <x:v>16</x:v>
      </x:c>
      <x:c r="B20" s="204" t="n">
        <x:f>G19</x:f>
        <x:v>8076093.903011935</x:v>
      </x:c>
      <x:c r="C20" s="208" t="n">
        <x:f>'Assumptions'!D23/12</x:f>
        <x:v>0.005883333333333333</x:v>
      </x:c>
      <x:c r="D20" s="204" t="n">
        <x:f>B20*C20</x:f>
        <x:v>47514.35246272021</x:v>
      </x:c>
      <x:c r="E20" s="204" t="n">
        <x:f>MIN(B20,F20-D20)</x:f>
        <x:v>95229.93519131604</x:v>
      </x:c>
      <x:c r="F20" s="204" t="n">
        <x:f>'Scenario Summary'!$D$27/12</x:f>
        <x:v>142744.28765403625</x:v>
      </x:c>
      <x:c r="G20" s="204" t="n">
        <x:f>MAX(0,B20-E20)</x:f>
        <x:v>7980863.967820619</x:v>
      </x:c>
    </x:row>
    <x:row r="21">
      <x:c r="A21" s="112" t="n">
        <x:v>17</x:v>
      </x:c>
      <x:c r="B21" s="204" t="n">
        <x:f>G20</x:f>
        <x:v>7980863.967820619</x:v>
      </x:c>
      <x:c r="C21" s="208" t="n">
        <x:f>'Assumptions'!D23/12</x:f>
        <x:v>0.005883333333333333</x:v>
      </x:c>
      <x:c r="D21" s="204" t="n">
        <x:f>B21*C21</x:f>
        <x:v>46954.083010677976</x:v>
      </x:c>
      <x:c r="E21" s="204" t="n">
        <x:f>MIN(B21,F21-D21)</x:f>
        <x:v>95790.20464335827</x:v>
      </x:c>
      <x:c r="F21" s="204" t="n">
        <x:f>'Scenario Summary'!$D$27/12</x:f>
        <x:v>142744.28765403625</x:v>
      </x:c>
      <x:c r="G21" s="204" t="n">
        <x:f>MAX(0,B21-E21)</x:f>
        <x:v>7885073.763177261</x:v>
      </x:c>
    </x:row>
    <x:row r="22">
      <x:c r="A22" s="112" t="n">
        <x:v>18</x:v>
      </x:c>
      <x:c r="B22" s="204" t="n">
        <x:f>G21</x:f>
        <x:v>7885073.763177261</x:v>
      </x:c>
      <x:c r="C22" s="208" t="n">
        <x:f>'Assumptions'!D23/12</x:f>
        <x:v>0.005883333333333333</x:v>
      </x:c>
      <x:c r="D22" s="204" t="n">
        <x:f>B22*C22</x:f>
        <x:v>46390.517306692884</x:v>
      </x:c>
      <x:c r="E22" s="204" t="n">
        <x:f>MIN(B22,F22-D22)</x:f>
        <x:v>96353.77034734336</x:v>
      </x:c>
      <x:c r="F22" s="204" t="n">
        <x:f>'Scenario Summary'!$D$27/12</x:f>
        <x:v>142744.28765403625</x:v>
      </x:c>
      <x:c r="G22" s="204" t="n">
        <x:f>MAX(0,B22-E22)</x:f>
        <x:v>7788719.992829917</x:v>
      </x:c>
    </x:row>
    <x:row r="23">
      <x:c r="A23" s="112" t="n">
        <x:v>19</x:v>
      </x:c>
      <x:c r="B23" s="204" t="n">
        <x:f>G22</x:f>
        <x:v>7788719.992829917</x:v>
      </x:c>
      <x:c r="C23" s="208" t="n">
        <x:f>'Assumptions'!D23/12</x:f>
        <x:v>0.005883333333333333</x:v>
      </x:c>
      <x:c r="D23" s="204" t="n">
        <x:f>B23*C23</x:f>
        <x:v>45823.63595781601</x:v>
      </x:c>
      <x:c r="E23" s="204" t="n">
        <x:f>MIN(B23,F23-D23)</x:f>
        <x:v>96920.65169622024</x:v>
      </x:c>
      <x:c r="F23" s="204" t="n">
        <x:f>'Scenario Summary'!$D$27/12</x:f>
        <x:v>142744.28765403625</x:v>
      </x:c>
      <x:c r="G23" s="204" t="n">
        <x:f>MAX(0,B23-E23)</x:f>
        <x:v>7691799.341133697</x:v>
      </x:c>
    </x:row>
    <x:row r="24">
      <x:c r="A24" s="112" t="n">
        <x:v>20</x:v>
      </x:c>
      <x:c r="B24" s="204" t="n">
        <x:f>G23</x:f>
        <x:v>7691799.341133697</x:v>
      </x:c>
      <x:c r="C24" s="208" t="n">
        <x:f>'Assumptions'!D23/12</x:f>
        <x:v>0.005883333333333333</x:v>
      </x:c>
      <x:c r="D24" s="204" t="n">
        <x:f>B24*C24</x:f>
        <x:v>45253.41945700325</x:v>
      </x:c>
      <x:c r="E24" s="204" t="n">
        <x:f>MIN(B24,F24-D24)</x:f>
        <x:v>97490.868197033</x:v>
      </x:c>
      <x:c r="F24" s="204" t="n">
        <x:f>'Scenario Summary'!$D$27/12</x:f>
        <x:v>142744.28765403625</x:v>
      </x:c>
      <x:c r="G24" s="204" t="n">
        <x:f>MAX(0,B24-E24)</x:f>
        <x:v>7594308.472936664</x:v>
      </x:c>
    </x:row>
    <x:row r="25">
      <x:c r="A25" s="112" t="n">
        <x:v>21</x:v>
      </x:c>
      <x:c r="B25" s="204" t="n">
        <x:f>G24</x:f>
        <x:v>7594308.472936664</x:v>
      </x:c>
      <x:c r="C25" s="208" t="n">
        <x:f>'Assumptions'!D23/12</x:f>
        <x:v>0.005883333333333333</x:v>
      </x:c>
      <x:c r="D25" s="204" t="n">
        <x:f>B25*C25</x:f>
        <x:v>44679.84818244404</x:v>
      </x:c>
      <x:c r="E25" s="204" t="n">
        <x:f>MIN(B25,F25-D25)</x:f>
        <x:v>98064.43947159221</x:v>
      </x:c>
      <x:c r="F25" s="204" t="n">
        <x:f>'Scenario Summary'!$D$27/12</x:f>
        <x:v>142744.28765403625</x:v>
      </x:c>
      <x:c r="G25" s="204" t="n">
        <x:f>MAX(0,B25-E25)</x:f>
        <x:v>7496244.033465072</x:v>
      </x:c>
    </x:row>
    <x:row r="26">
      <x:c r="A26" s="112" t="n">
        <x:v>22</x:v>
      </x:c>
      <x:c r="B26" s="204" t="n">
        <x:f>G25</x:f>
        <x:v>7496244.033465072</x:v>
      </x:c>
      <x:c r="C26" s="208" t="n">
        <x:f>'Assumptions'!D23/12</x:f>
        <x:v>0.005883333333333333</x:v>
      </x:c>
      <x:c r="D26" s="204" t="n">
        <x:f>B26*C26</x:f>
        <x:v>44102.90239688617</x:v>
      </x:c>
      <x:c r="E26" s="204" t="n">
        <x:f>MIN(B26,F26-D26)</x:f>
        <x:v>98641.38525715008</x:v>
      </x:c>
      <x:c r="F26" s="204" t="n">
        <x:f>'Scenario Summary'!$D$27/12</x:f>
        <x:v>142744.28765403625</x:v>
      </x:c>
      <x:c r="G26" s="204" t="n">
        <x:f>MAX(0,B26-E26)</x:f>
        <x:v>7397602.648207922</x:v>
      </x:c>
    </x:row>
    <x:row r="27">
      <x:c r="A27" s="112" t="n">
        <x:v>23</x:v>
      </x:c>
      <x:c r="B27" s="204" t="n">
        <x:f>G26</x:f>
        <x:v>7397602.648207922</x:v>
      </x:c>
      <x:c r="C27" s="208" t="n">
        <x:f>'Assumptions'!D23/12</x:f>
        <x:v>0.005883333333333333</x:v>
      </x:c>
      <x:c r="D27" s="204" t="n">
        <x:f>B27*C27</x:f>
        <x:v>43522.56224695661</x:v>
      </x:c>
      <x:c r="E27" s="204" t="n">
        <x:f>MIN(B27,F27-D27)</x:f>
        <x:v>99221.72540707965</x:v>
      </x:c>
      <x:c r="F27" s="204" t="n">
        <x:f>'Scenario Summary'!$D$27/12</x:f>
        <x:v>142744.28765403625</x:v>
      </x:c>
      <x:c r="G27" s="204" t="n">
        <x:f>MAX(0,B27-E27)</x:f>
        <x:v>7298380.922800842</x:v>
      </x:c>
    </x:row>
    <x:row r="28">
      <x:c r="A28" s="112" t="n">
        <x:v>24</x:v>
      </x:c>
      <x:c r="B28" s="204" t="n">
        <x:f>G27</x:f>
        <x:v>7298380.922800842</x:v>
      </x:c>
      <x:c r="C28" s="208" t="n">
        <x:f>'Assumptions'!D23/12</x:f>
        <x:v>0.005883333333333333</x:v>
      </x:c>
      <x:c r="D28" s="204" t="n">
        <x:f>B28*C28</x:f>
        <x:v>42938.80776247828</x:v>
      </x:c>
      <x:c r="E28" s="204" t="n">
        <x:f>MIN(B28,F28-D28)</x:f>
        <x:v>99805.47989155797</x:v>
      </x:c>
      <x:c r="F28" s="204" t="n">
        <x:f>'Scenario Summary'!$D$27/12</x:f>
        <x:v>142744.28765403625</x:v>
      </x:c>
      <x:c r="G28" s="204" t="n">
        <x:f>MAX(0,B28-E28)</x:f>
        <x:v>7198575.442909284</x:v>
      </x:c>
    </x:row>
    <x:row r="29">
      <x:c r="A29" s="112" t="n">
        <x:v>25</x:v>
      </x:c>
      <x:c r="B29" s="204" t="n">
        <x:f>G28</x:f>
        <x:v>7198575.442909284</x:v>
      </x:c>
      <x:c r="C29" s="208" t="n">
        <x:f>'Assumptions'!D23/12</x:f>
        <x:v>0.005883333333333333</x:v>
      </x:c>
      <x:c r="D29" s="204" t="n">
        <x:f>B29*C29</x:f>
        <x:v>42351.61885578295</x:v>
      </x:c>
      <x:c r="E29" s="204" t="n">
        <x:f>MIN(B29,F29-D29)</x:f>
        <x:v>100392.66879825329</x:v>
      </x:c>
      <x:c r="F29" s="204" t="n">
        <x:f>'Scenario Summary'!$D$27/12</x:f>
        <x:v>142744.28765403625</x:v>
      </x:c>
      <x:c r="G29" s="204" t="n">
        <x:f>MAX(0,B29-E29)</x:f>
        <x:v>7098182.774111031</x:v>
      </x:c>
    </x:row>
    <x:row r="30">
      <x:c r="A30" s="112" t="n">
        <x:v>26</x:v>
      </x:c>
      <x:c r="B30" s="204" t="n">
        <x:f>G29</x:f>
        <x:v>7098182.774111031</x:v>
      </x:c>
      <x:c r="C30" s="208" t="n">
        <x:f>'Assumptions'!D23/12</x:f>
        <x:v>0.005883333333333333</x:v>
      </x:c>
      <x:c r="D30" s="204" t="n">
        <x:f>B30*C30</x:f>
        <x:v>41760.9753210199</x:v>
      </x:c>
      <x:c r="E30" s="204" t="n">
        <x:f>MIN(B30,F30-D30)</x:f>
        <x:v>100983.31233301635</x:v>
      </x:c>
      <x:c r="F30" s="204" t="n">
        <x:f>'Scenario Summary'!$D$27/12</x:f>
        <x:v>142744.28765403625</x:v>
      </x:c>
      <x:c r="G30" s="204" t="n">
        <x:f>MAX(0,B30-E30)</x:f>
        <x:v>6997199.461778014</x:v>
      </x:c>
    </x:row>
    <x:row r="31">
      <x:c r="A31" s="112" t="n">
        <x:v>27</x:v>
      </x:c>
      <x:c r="B31" s="204" t="n">
        <x:f>G30</x:f>
        <x:v>6997199.461778014</x:v>
      </x:c>
      <x:c r="C31" s="208" t="n">
        <x:f>'Assumptions'!D23/12</x:f>
        <x:v>0.005883333333333333</x:v>
      </x:c>
      <x:c r="D31" s="204" t="n">
        <x:f>B31*C31</x:f>
        <x:v>41166.856833460646</x:v>
      </x:c>
      <x:c r="E31" s="204" t="n">
        <x:f>MIN(B31,F31-D31)</x:f>
        <x:v>101577.4308205756</x:v>
      </x:c>
      <x:c r="F31" s="204" t="n">
        <x:f>'Scenario Summary'!$D$27/12</x:f>
        <x:v>142744.28765403625</x:v>
      </x:c>
      <x:c r="G31" s="204" t="n">
        <x:f>MAX(0,B31-E31)</x:f>
        <x:v>6895622.030957438</x:v>
      </x:c>
    </x:row>
    <x:row r="32">
      <x:c r="A32" s="112" t="n">
        <x:v>28</x:v>
      </x:c>
      <x:c r="B32" s="204" t="n">
        <x:f>G31</x:f>
        <x:v>6895622.030957438</x:v>
      </x:c>
      <x:c r="C32" s="208" t="n">
        <x:f>'Assumptions'!D23/12</x:f>
        <x:v>0.005883333333333333</x:v>
      </x:c>
      <x:c r="D32" s="204" t="n">
        <x:f>B32*C32</x:f>
        <x:v>40569.24294879959</x:v>
      </x:c>
      <x:c r="E32" s="204" t="n">
        <x:f>MIN(B32,F32-D32)</x:f>
        <x:v>102175.04470523665</x:v>
      </x:c>
      <x:c r="F32" s="204" t="n">
        <x:f>'Scenario Summary'!$D$27/12</x:f>
        <x:v>142744.28765403625</x:v>
      </x:c>
      <x:c r="G32" s="204" t="n">
        <x:f>MAX(0,B32-E32)</x:f>
        <x:v>6793446.986252202</x:v>
      </x:c>
    </x:row>
    <x:row r="33">
      <x:c r="A33" s="112" t="n">
        <x:v>29</x:v>
      </x:c>
      <x:c r="B33" s="204" t="n">
        <x:f>G32</x:f>
        <x:v>6793446.986252202</x:v>
      </x:c>
      <x:c r="C33" s="208" t="n">
        <x:f>'Assumptions'!D23/12</x:f>
        <x:v>0.005883333333333333</x:v>
      </x:c>
      <x:c r="D33" s="204" t="n">
        <x:f>B33*C33</x:f>
        <x:v>39968.11310245045</x:v>
      </x:c>
      <x:c r="E33" s="204" t="n">
        <x:f>MIN(B33,F33-D33)</x:f>
        <x:v>102776.1745515858</x:v>
      </x:c>
      <x:c r="F33" s="204" t="n">
        <x:f>'Scenario Summary'!$D$27/12</x:f>
        <x:v>142744.28765403625</x:v>
      </x:c>
      <x:c r="G33" s="204" t="n">
        <x:f>MAX(0,B33-E33)</x:f>
        <x:v>6690670.811700616</x:v>
      </x:c>
    </x:row>
    <x:row r="34">
      <x:c r="A34" s="112" t="n">
        <x:v>30</x:v>
      </x:c>
      <x:c r="B34" s="204" t="n">
        <x:f>G33</x:f>
        <x:v>6690670.811700616</x:v>
      </x:c>
      <x:c r="C34" s="208" t="n">
        <x:f>'Assumptions'!D23/12</x:f>
        <x:v>0.005883333333333333</x:v>
      </x:c>
      <x:c r="D34" s="204" t="n">
        <x:f>B34*C34</x:f>
        <x:v>39363.446608838625</x:v>
      </x:c>
      <x:c r="E34" s="204" t="n">
        <x:f>MIN(B34,F34-D34)</x:f>
        <x:v>103380.84104519762</x:v>
      </x:c>
      <x:c r="F34" s="204" t="n">
        <x:f>'Scenario Summary'!$D$27/12</x:f>
        <x:v>142744.28765403625</x:v>
      </x:c>
      <x:c r="G34" s="204" t="n">
        <x:f>MAX(0,B34-E34)</x:f>
        <x:v>6587289.970655418</x:v>
      </x:c>
    </x:row>
    <x:row r="35">
      <x:c r="A35" s="112" t="n">
        <x:v>31</x:v>
      </x:c>
      <x:c r="B35" s="204" t="n">
        <x:f>G34</x:f>
        <x:v>6587289.970655418</x:v>
      </x:c>
      <x:c r="C35" s="208" t="n">
        <x:f>'Assumptions'!D23/12</x:f>
        <x:v>0.005883333333333333</x:v>
      </x:c>
      <x:c r="D35" s="204" t="n">
        <x:f>B35*C35</x:f>
        <x:v>38755.222660689375</x:v>
      </x:c>
      <x:c r="E35" s="204" t="n">
        <x:f>MIN(B35,F35-D35)</x:f>
        <x:v>103989.06499334687</x:v>
      </x:c>
      <x:c r="F35" s="204" t="n">
        <x:f>'Scenario Summary'!$D$27/12</x:f>
        <x:v>142744.28765403625</x:v>
      </x:c>
      <x:c r="G35" s="204" t="n">
        <x:f>MAX(0,B35-E35)</x:f>
        <x:v>6483300.905662071</x:v>
      </x:c>
    </x:row>
    <x:row r="36">
      <x:c r="A36" s="112" t="n">
        <x:v>32</x:v>
      </x:c>
      <x:c r="B36" s="204" t="n">
        <x:f>G35</x:f>
        <x:v>6483300.905662071</x:v>
      </x:c>
      <x:c r="C36" s="208" t="n">
        <x:f>'Assumptions'!D23/12</x:f>
        <x:v>0.005883333333333333</x:v>
      </x:c>
      <x:c r="D36" s="204" t="n">
        <x:f>B36*C36</x:f>
        <x:v>38143.42032831185</x:v>
      </x:c>
      <x:c r="E36" s="204" t="n">
        <x:f>MIN(B36,F36-D36)</x:f>
        <x:v>104600.8673257244</x:v>
      </x:c>
      <x:c r="F36" s="204" t="n">
        <x:f>'Scenario Summary'!$D$27/12</x:f>
        <x:v>142744.28765403625</x:v>
      </x:c>
      <x:c r="G36" s="204" t="n">
        <x:f>MAX(0,B36-E36)</x:f>
        <x:v>6378700.038336347</x:v>
      </x:c>
    </x:row>
    <x:row r="37">
      <x:c r="A37" s="112" t="n">
        <x:v>33</x:v>
      </x:c>
      <x:c r="B37" s="204" t="n">
        <x:f>G36</x:f>
        <x:v>6378700.038336347</x:v>
      </x:c>
      <x:c r="C37" s="208" t="n">
        <x:f>'Assumptions'!D23/12</x:f>
        <x:v>0.005883333333333333</x:v>
      </x:c>
      <x:c r="D37" s="204" t="n">
        <x:f>B37*C37</x:f>
        <x:v>37528.01855887884</x:v>
      </x:c>
      <x:c r="E37" s="204" t="n">
        <x:f>MIN(B37,F37-D37)</x:f>
        <x:v>105216.26909515742</x:v>
      </x:c>
      <x:c r="F37" s="204" t="n">
        <x:f>'Scenario Summary'!$D$27/12</x:f>
        <x:v>142744.28765403625</x:v>
      </x:c>
      <x:c r="G37" s="204" t="n">
        <x:f>MAX(0,B37-E37)</x:f>
        <x:v>6273483.76924119</x:v>
      </x:c>
    </x:row>
    <x:row r="38">
      <x:c r="A38" s="112" t="n">
        <x:v>34</x:v>
      </x:c>
      <x:c r="B38" s="204" t="n">
        <x:f>G37</x:f>
        <x:v>6273483.76924119</x:v>
      </x:c>
      <x:c r="C38" s="208" t="n">
        <x:f>'Assumptions'!D23/12</x:f>
        <x:v>0.005883333333333333</x:v>
      </x:c>
      <x:c r="D38" s="204" t="n">
        <x:f>B38*C38</x:f>
        <x:v>36908.996175702334</x:v>
      </x:c>
      <x:c r="E38" s="204" t="n">
        <x:f>MIN(B38,F38-D38)</x:f>
        <x:v>105835.29147833391</x:v>
      </x:c>
      <x:c r="F38" s="204" t="n">
        <x:f>'Scenario Summary'!$D$27/12</x:f>
        <x:v>142744.28765403625</x:v>
      </x:c>
      <x:c r="G38" s="204" t="n">
        <x:f>MAX(0,B38-E38)</x:f>
        <x:v>6167648.477762856</x:v>
      </x:c>
    </x:row>
    <x:row r="39">
      <x:c r="A39" s="112" t="n">
        <x:v>35</x:v>
      </x:c>
      <x:c r="B39" s="204" t="n">
        <x:f>G38</x:f>
        <x:v>6167648.477762856</x:v>
      </x:c>
      <x:c r="C39" s="208" t="n">
        <x:f>'Assumptions'!D23/12</x:f>
        <x:v>0.005883333333333333</x:v>
      </x:c>
      <x:c r="D39" s="204" t="n">
        <x:f>B39*C39</x:f>
        <x:v>36286.3318775048</x:v>
      </x:c>
      <x:c r="E39" s="204" t="n">
        <x:f>MIN(B39,F39-D39)</x:f>
        <x:v>106457.95577653145</x:v>
      </x:c>
      <x:c r="F39" s="204" t="n">
        <x:f>'Scenario Summary'!$D$27/12</x:f>
        <x:v>142744.28765403625</x:v>
      </x:c>
      <x:c r="G39" s="204" t="n">
        <x:f>MAX(0,B39-E39)</x:f>
        <x:v>6061190.521986324</x:v>
      </x:c>
    </x:row>
    <x:row r="40">
      <x:c r="A40" s="112" t="n">
        <x:v>36</x:v>
      </x:c>
      <x:c r="B40" s="204" t="n">
        <x:f>G39</x:f>
        <x:v>6061190.521986324</x:v>
      </x:c>
      <x:c r="C40" s="208" t="n">
        <x:f>'Assumptions'!D23/12</x:f>
        <x:v>0.005883333333333333</x:v>
      </x:c>
      <x:c r="D40" s="204" t="n">
        <x:f>B40*C40</x:f>
        <x:v>35660.00423768621</x:v>
      </x:c>
      <x:c r="E40" s="204" t="n">
        <x:f>MIN(B40,F40-D40)</x:f>
        <x:v>107084.28341635004</x:v>
      </x:c>
      <x:c r="F40" s="204" t="n">
        <x:f>'Scenario Summary'!$D$27/12</x:f>
        <x:v>142744.28765403625</x:v>
      </x:c>
      <x:c r="G40" s="204" t="n">
        <x:f>MAX(0,B40-E40)</x:f>
        <x:v>5954106.238569974</x:v>
      </x:c>
    </x:row>
    <x:row r="41">
      <x:c r="A41" s="112" t="n">
        <x:v>37</x:v>
      </x:c>
      <x:c r="B41" s="204" t="n">
        <x:f>G40</x:f>
        <x:v>5954106.238569974</x:v>
      </x:c>
      <x:c r="C41" s="208" t="n">
        <x:f>'Assumptions'!D23/12</x:f>
        <x:v>0.005883333333333333</x:v>
      </x:c>
      <x:c r="D41" s="204" t="n">
        <x:f>B41*C41</x:f>
        <x:v>35029.99170358668</x:v>
      </x:c>
      <x:c r="E41" s="204" t="n">
        <x:f>MIN(B41,F41-D41)</x:f>
        <x:v>107714.29595044957</x:v>
      </x:c>
      <x:c r="F41" s="204" t="n">
        <x:f>'Scenario Summary'!$D$27/12</x:f>
        <x:v>142744.28765403625</x:v>
      </x:c>
      <x:c r="G41" s="204" t="n">
        <x:f>MAX(0,B41-E41)</x:f>
        <x:v>5846391.942619524</x:v>
      </x:c>
    </x:row>
    <x:row r="42">
      <x:c r="A42" s="112" t="n">
        <x:v>38</x:v>
      </x:c>
      <x:c r="B42" s="204" t="n">
        <x:f>G41</x:f>
        <x:v>5846391.942619524</x:v>
      </x:c>
      <x:c r="C42" s="208" t="n">
        <x:f>'Assumptions'!D23/12</x:f>
        <x:v>0.005883333333333333</x:v>
      </x:c>
      <x:c r="D42" s="204" t="n">
        <x:f>B42*C42</x:f>
        <x:v>34396.272595744864</x:v>
      </x:c>
      <x:c r="E42" s="204" t="n">
        <x:f>MIN(B42,F42-D42)</x:f>
        <x:v>108348.01505829138</x:v>
      </x:c>
      <x:c r="F42" s="204" t="n">
        <x:f>'Scenario Summary'!$D$27/12</x:f>
        <x:v>142744.28765403625</x:v>
      </x:c>
      <x:c r="G42" s="204" t="n">
        <x:f>MAX(0,B42-E42)</x:f>
        <x:v>5738043.927561233</x:v>
      </x:c>
    </x:row>
    <x:row r="43">
      <x:c r="A43" s="112" t="n">
        <x:v>39</x:v>
      </x:c>
      <x:c r="B43" s="204" t="n">
        <x:f>G42</x:f>
        <x:v>5738043.927561233</x:v>
      </x:c>
      <x:c r="C43" s="208" t="n">
        <x:f>'Assumptions'!D23/12</x:f>
        <x:v>0.005883333333333333</x:v>
      </x:c>
      <x:c r="D43" s="204" t="n">
        <x:f>B43*C43</x:f>
        <x:v>33758.82510715192</x:v>
      </x:c>
      <x:c r="E43" s="204" t="n">
        <x:f>MIN(B43,F43-D43)</x:f>
        <x:v>108985.46254688433</x:v>
      </x:c>
      <x:c r="F43" s="204" t="n">
        <x:f>'Scenario Summary'!$D$27/12</x:f>
        <x:v>142744.28765403625</x:v>
      </x:c>
      <x:c r="G43" s="204" t="n">
        <x:f>MAX(0,B43-E43)</x:f>
        <x:v>5629058.465014349</x:v>
      </x:c>
    </x:row>
    <x:row r="44">
      <x:c r="A44" s="112" t="n">
        <x:v>40</x:v>
      </x:c>
      <x:c r="B44" s="204" t="n">
        <x:f>G43</x:f>
        <x:v>5629058.465014349</x:v>
      </x:c>
      <x:c r="C44" s="208" t="n">
        <x:f>'Assumptions'!D23/12</x:f>
        <x:v>0.005883333333333333</x:v>
      </x:c>
      <x:c r="D44" s="204" t="n">
        <x:f>B44*C44</x:f>
        <x:v>33117.62730250108</x:v>
      </x:c>
      <x:c r="E44" s="204" t="n">
        <x:f>MIN(B44,F44-D44)</x:f>
        <x:v>109626.66035153516</x:v>
      </x:c>
      <x:c r="F44" s="204" t="n">
        <x:f>'Scenario Summary'!$D$27/12</x:f>
        <x:v>142744.28765403625</x:v>
      </x:c>
      <x:c r="G44" s="204" t="n">
        <x:f>MAX(0,B44-E44)</x:f>
        <x:v>5519431.804662813</x:v>
      </x:c>
    </x:row>
    <x:row r="45">
      <x:c r="A45" s="112" t="n">
        <x:v>41</x:v>
      </x:c>
      <x:c r="B45" s="204" t="n">
        <x:f>G44</x:f>
        <x:v>5519431.804662813</x:v>
      </x:c>
      <x:c r="C45" s="208" t="n">
        <x:f>'Assumptions'!D23/12</x:f>
        <x:v>0.005883333333333333</x:v>
      </x:c>
      <x:c r="D45" s="204" t="n">
        <x:f>B45*C45</x:f>
        <x:v>32472.657117432886</x:v>
      </x:c>
      <x:c r="E45" s="204" t="n">
        <x:f>MIN(B45,F45-D45)</x:f>
        <x:v>110271.63053660336</x:v>
      </x:c>
      <x:c r="F45" s="204" t="n">
        <x:f>'Scenario Summary'!$D$27/12</x:f>
        <x:v>142744.28765403625</x:v>
      </x:c>
      <x:c r="G45" s="204" t="n">
        <x:f>MAX(0,B45-E45)</x:f>
        <x:v>5409160.17412621</x:v>
      </x:c>
    </x:row>
    <x:row r="46">
      <x:c r="A46" s="112" t="n">
        <x:v>42</x:v>
      </x:c>
      <x:c r="B46" s="204" t="n">
        <x:f>G45</x:f>
        <x:v>5409160.17412621</x:v>
      </x:c>
      <x:c r="C46" s="208" t="n">
        <x:f>'Assumptions'!D23/12</x:f>
        <x:v>0.005883333333333333</x:v>
      </x:c>
      <x:c r="D46" s="204" t="n">
        <x:f>B46*C46</x:f>
        <x:v>31823.892357775865</x:v>
      </x:c>
      <x:c r="E46" s="204" t="n">
        <x:f>MIN(B46,F46-D46)</x:f>
        <x:v>110920.39529626038</x:v>
      </x:c>
      <x:c r="F46" s="204" t="n">
        <x:f>'Scenario Summary'!$D$27/12</x:f>
        <x:v>142744.28765403625</x:v>
      </x:c>
      <x:c r="G46" s="204" t="n">
        <x:f>MAX(0,B46-E46)</x:f>
        <x:v>5298239.778829949</x:v>
      </x:c>
    </x:row>
    <x:row r="47">
      <x:c r="A47" s="112" t="n">
        <x:v>43</x:v>
      </x:c>
      <x:c r="B47" s="204" t="n">
        <x:f>G46</x:f>
        <x:v>5298239.778829949</x:v>
      </x:c>
      <x:c r="C47" s="208" t="n">
        <x:f>'Assumptions'!D23/12</x:f>
        <x:v>0.005883333333333333</x:v>
      </x:c>
      <x:c r="D47" s="204" t="n">
        <x:f>B47*C47</x:f>
        <x:v>31171.310698782865</x:v>
      </x:c>
      <x:c r="E47" s="204" t="n">
        <x:f>MIN(B47,F47-D47)</x:f>
        <x:v>111572.97695525338</x:v>
      </x:c>
      <x:c r="F47" s="204" t="n">
        <x:f>'Scenario Summary'!$D$27/12</x:f>
        <x:v>142744.28765403625</x:v>
      </x:c>
      <x:c r="G47" s="204" t="n">
        <x:f>MAX(0,B47-E47)</x:f>
        <x:v>5186666.801874695</x:v>
      </x:c>
    </x:row>
    <x:row r="48">
      <x:c r="A48" s="112" t="n">
        <x:v>44</x:v>
      </x:c>
      <x:c r="B48" s="204" t="n">
        <x:f>G47</x:f>
        <x:v>5186666.801874695</x:v>
      </x:c>
      <x:c r="C48" s="208" t="n">
        <x:f>'Assumptions'!D23/12</x:f>
        <x:v>0.005883333333333333</x:v>
      </x:c>
      <x:c r="D48" s="204" t="n">
        <x:f>B48*C48</x:f>
        <x:v>30514.88968436279</x:v>
      </x:c>
      <x:c r="E48" s="204" t="n">
        <x:f>MIN(B48,F48-D48)</x:f>
        <x:v>112229.39796967346</x:v>
      </x:c>
      <x:c r="F48" s="204" t="n">
        <x:f>'Scenario Summary'!$D$27/12</x:f>
        <x:v>142744.28765403625</x:v>
      </x:c>
      <x:c r="G48" s="204" t="n">
        <x:f>MAX(0,B48-E48)</x:f>
        <x:v>5074437.403905022</x:v>
      </x:c>
    </x:row>
    <x:row r="49">
      <x:c r="A49" s="112" t="n">
        <x:v>45</x:v>
      </x:c>
      <x:c r="B49" s="204" t="n">
        <x:f>G48</x:f>
        <x:v>5074437.403905022</x:v>
      </x:c>
      <x:c r="C49" s="208" t="n">
        <x:f>'Assumptions'!D23/12</x:f>
        <x:v>0.005883333333333333</x:v>
      </x:c>
      <x:c r="D49" s="204" t="n">
        <x:f>B49*C49</x:f>
        <x:v>29854.60672630788</x:v>
      </x:c>
      <x:c r="E49" s="204" t="n">
        <x:f>MIN(B49,F49-D49)</x:f>
        <x:v>112889.68092772836</x:v>
      </x:c>
      <x:c r="F49" s="204" t="n">
        <x:f>'Scenario Summary'!$D$27/12</x:f>
        <x:v>142744.28765403625</x:v>
      </x:c>
      <x:c r="G49" s="204" t="n">
        <x:f>MAX(0,B49-E49)</x:f>
        <x:v>4961547.722977294</x:v>
      </x:c>
    </x:row>
    <x:row r="50">
      <x:c r="A50" s="112" t="n">
        <x:v>46</x:v>
      </x:c>
      <x:c r="B50" s="204" t="n">
        <x:f>G49</x:f>
        <x:v>4961547.722977294</x:v>
      </x:c>
      <x:c r="C50" s="208" t="n">
        <x:f>'Assumptions'!D23/12</x:f>
        <x:v>0.005883333333333333</x:v>
      </x:c>
      <x:c r="D50" s="204" t="n">
        <x:f>B50*C50</x:f>
        <x:v>29190.43910351641</x:v>
      </x:c>
      <x:c r="E50" s="204" t="n">
        <x:f>MIN(B50,F50-D50)</x:f>
        <x:v>113553.84855051983</x:v>
      </x:c>
      <x:c r="F50" s="204" t="n">
        <x:f>'Scenario Summary'!$D$27/12</x:f>
        <x:v>142744.28765403625</x:v>
      </x:c>
      <x:c r="G50" s="204" t="n">
        <x:f>MAX(0,B50-E50)</x:f>
        <x:v>4847993.874426774</x:v>
      </x:c>
    </x:row>
    <x:row r="51">
      <x:c r="A51" s="112" t="n">
        <x:v>47</x:v>
      </x:c>
      <x:c r="B51" s="204" t="n">
        <x:f>G50</x:f>
        <x:v>4847993.874426774</x:v>
      </x:c>
      <x:c r="C51" s="208" t="n">
        <x:f>'Assumptions'!D23/12</x:f>
        <x:v>0.005883333333333333</x:v>
      </x:c>
      <x:c r="D51" s="204" t="n">
        <x:f>B51*C51</x:f>
        <x:v>28522.363961210853</x:v>
      </x:c>
      <x:c r="E51" s="204" t="n">
        <x:f>MIN(B51,F51-D51)</x:f>
        <x:v>114221.9236928254</x:v>
      </x:c>
      <x:c r="F51" s="204" t="n">
        <x:f>'Scenario Summary'!$D$27/12</x:f>
        <x:v>142744.28765403625</x:v>
      </x:c>
      <x:c r="G51" s="204" t="n">
        <x:f>MAX(0,B51-E51)</x:f>
        <x:v>4733771.9507339485</x:v>
      </x:c>
    </x:row>
    <x:row r="52">
      <x:c r="A52" s="112" t="n">
        <x:v>48</x:v>
      </x:c>
      <x:c r="B52" s="204" t="n">
        <x:f>G51</x:f>
        <x:v>4733771.9507339485</x:v>
      </x:c>
      <x:c r="C52" s="208" t="n">
        <x:f>'Assumptions'!D23/12</x:f>
        <x:v>0.005883333333333333</x:v>
      </x:c>
      <x:c r="D52" s="204" t="n">
        <x:f>B52*C52</x:f>
        <x:v>27850.358310151398</x:v>
      </x:c>
      <x:c r="E52" s="204" t="n">
        <x:f>MIN(B52,F52-D52)</x:f>
        <x:v>114893.92934388485</x:v>
      </x:c>
      <x:c r="F52" s="204" t="n">
        <x:f>'Scenario Summary'!$D$27/12</x:f>
        <x:v>142744.28765403625</x:v>
      </x:c>
      <x:c r="G52" s="204" t="n">
        <x:f>MAX(0,B52-E52)</x:f>
        <x:v>4618878.021390064</x:v>
      </x:c>
    </x:row>
    <x:row r="53">
      <x:c r="A53" s="112" t="n">
        <x:v>49</x:v>
      </x:c>
      <x:c r="B53" s="204" t="n">
        <x:f>G52</x:f>
        <x:v>4618878.021390064</x:v>
      </x:c>
      <x:c r="C53" s="208" t="n">
        <x:f>'Assumptions'!D23/12</x:f>
        <x:v>0.005883333333333333</x:v>
      </x:c>
      <x:c r="D53" s="204" t="n">
        <x:f>B53*C53</x:f>
        <x:v>27174.399025844876</x:v>
      </x:c>
      <x:c r="E53" s="204" t="n">
        <x:f>MIN(B53,F53-D53)</x:f>
        <x:v>115569.88862819137</x:v>
      </x:c>
      <x:c r="F53" s="204" t="n">
        <x:f>'Scenario Summary'!$D$27/12</x:f>
        <x:v>142744.28765403625</x:v>
      </x:c>
      <x:c r="G53" s="204" t="n">
        <x:f>MAX(0,B53-E53)</x:f>
        <x:v>4503308.132761872</x:v>
      </x:c>
    </x:row>
    <x:row r="54">
      <x:c r="A54" s="112" t="n">
        <x:v>50</x:v>
      </x:c>
      <x:c r="B54" s="204" t="n">
        <x:f>G53</x:f>
        <x:v>4503308.132761872</x:v>
      </x:c>
      <x:c r="C54" s="208" t="n">
        <x:f>'Assumptions'!D23/12</x:f>
        <x:v>0.005883333333333333</x:v>
      </x:c>
      <x:c r="D54" s="204" t="n">
        <x:f>B54*C54</x:f>
        <x:v>26494.462847749015</x:v>
      </x:c>
      <x:c r="E54" s="204" t="n">
        <x:f>MIN(B54,F54-D54)</x:f>
        <x:v>116249.82480628723</x:v>
      </x:c>
      <x:c r="F54" s="204" t="n">
        <x:f>'Scenario Summary'!$D$27/12</x:f>
        <x:v>142744.28765403625</x:v>
      </x:c>
      <x:c r="G54" s="204" t="n">
        <x:f>MAX(0,B54-E54)</x:f>
        <x:v>4387058.307955585</x:v>
      </x:c>
    </x:row>
    <x:row r="55">
      <x:c r="A55" s="112" t="n">
        <x:v>51</x:v>
      </x:c>
      <x:c r="B55" s="204" t="n">
        <x:f>G54</x:f>
        <x:v>4387058.307955585</x:v>
      </x:c>
      <x:c r="C55" s="208" t="n">
        <x:f>'Assumptions'!D23/12</x:f>
        <x:v>0.005883333333333333</x:v>
      </x:c>
      <x:c r="D55" s="204" t="n">
        <x:f>B55*C55</x:f>
        <x:v>25810.526378472026</x:v>
      </x:c>
      <x:c r="E55" s="204" t="n">
        <x:f>MIN(B55,F55-D55)</x:f>
        <x:v>116933.76127556422</x:v>
      </x:c>
      <x:c r="F55" s="204" t="n">
        <x:f>'Scenario Summary'!$D$27/12</x:f>
        <x:v>142744.28765403625</x:v>
      </x:c>
      <x:c r="G55" s="204" t="n">
        <x:f>MAX(0,B55-E55)</x:f>
        <x:v>4270124.546680021</x:v>
      </x:c>
    </x:row>
    <x:row r="56">
      <x:c r="A56" s="112" t="n">
        <x:v>52</x:v>
      </x:c>
      <x:c r="B56" s="204" t="n">
        <x:f>G55</x:f>
        <x:v>4270124.546680021</x:v>
      </x:c>
      <x:c r="C56" s="208" t="n">
        <x:f>'Assumptions'!D23/12</x:f>
        <x:v>0.005883333333333333</x:v>
      </x:c>
      <x:c r="D56" s="204" t="n">
        <x:f>B56*C56</x:f>
        <x:v>25122.566082967456</x:v>
      </x:c>
      <x:c r="E56" s="204" t="n">
        <x:f>MIN(B56,F56-D56)</x:f>
        <x:v>117621.72157106879</x:v>
      </x:c>
      <x:c r="F56" s="204" t="n">
        <x:f>'Scenario Summary'!$D$27/12</x:f>
        <x:v>142744.28765403625</x:v>
      </x:c>
      <x:c r="G56" s="204" t="n">
        <x:f>MAX(0,B56-E56)</x:f>
        <x:v>4152502.8251089524</x:v>
      </x:c>
    </x:row>
    <x:row r="57">
      <x:c r="A57" s="112" t="n">
        <x:v>53</x:v>
      </x:c>
      <x:c r="B57" s="204" t="n">
        <x:f>G56</x:f>
        <x:v>4152502.8251089524</x:v>
      </x:c>
      <x:c r="C57" s="208" t="n">
        <x:f>'Assumptions'!D23/12</x:f>
        <x:v>0.005883333333333333</x:v>
      </x:c>
      <x:c r="D57" s="204" t="n">
        <x:f>B57*C57</x:f>
        <x:v>24430.558287724336</x:v>
      </x:c>
      <x:c r="E57" s="204" t="n">
        <x:f>MIN(B57,F57-D57)</x:f>
        <x:v>118313.72936631192</x:v>
      </x:c>
      <x:c r="F57" s="204" t="n">
        <x:f>'Scenario Summary'!$D$27/12</x:f>
        <x:v>142744.28765403625</x:v>
      </x:c>
      <x:c r="G57" s="204" t="n">
        <x:f>MAX(0,B57-E57)</x:f>
        <x:v>4034189.0957426406</x:v>
      </x:c>
    </x:row>
    <x:row r="58">
      <x:c r="A58" s="112" t="n">
        <x:v>54</x:v>
      </x:c>
      <x:c r="B58" s="204" t="n">
        <x:f>G57</x:f>
        <x:v>4034189.0957426406</x:v>
      </x:c>
      <x:c r="C58" s="208" t="n">
        <x:f>'Assumptions'!D23/12</x:f>
        <x:v>0.005883333333333333</x:v>
      </x:c>
      <x:c r="D58" s="204" t="n">
        <x:f>B58*C58</x:f>
        <x:v>23734.479179952534</x:v>
      </x:c>
      <x:c r="E58" s="204" t="n">
        <x:f>MIN(B58,F58-D58)</x:f>
        <x:v>119009.80847408372</x:v>
      </x:c>
      <x:c r="F58" s="204" t="n">
        <x:f>'Scenario Summary'!$D$27/12</x:f>
        <x:v>142744.28765403625</x:v>
      </x:c>
      <x:c r="G58" s="204" t="n">
        <x:f>MAX(0,B58-E58)</x:f>
        <x:v>3915179.2872685567</x:v>
      </x:c>
    </x:row>
    <x:row r="59">
      <x:c r="A59" s="112" t="n">
        <x:v>55</x:v>
      </x:c>
      <x:c r="B59" s="204" t="n">
        <x:f>G58</x:f>
        <x:v>3915179.2872685567</x:v>
      </x:c>
      <x:c r="C59" s="208" t="n">
        <x:f>'Assumptions'!D23/12</x:f>
        <x:v>0.005883333333333333</x:v>
      </x:c>
      <x:c r="D59" s="204" t="n">
        <x:f>B59*C59</x:f>
        <x:v>23034.304806763343</x:v>
      </x:c>
      <x:c r="E59" s="204" t="n">
        <x:f>MIN(B59,F59-D59)</x:f>
        <x:v>119709.98284727291</x:v>
      </x:c>
      <x:c r="F59" s="204" t="n">
        <x:f>'Scenario Summary'!$D$27/12</x:f>
        <x:v>142744.28765403625</x:v>
      </x:c>
      <x:c r="G59" s="204" t="n">
        <x:f>MAX(0,B59-E59)</x:f>
        <x:v>3795469.304421284</x:v>
      </x:c>
    </x:row>
    <x:row r="60">
      <x:c r="A60" s="112" t="n">
        <x:v>56</x:v>
      </x:c>
      <x:c r="B60" s="204" t="n">
        <x:f>G59</x:f>
        <x:v>3795469.304421284</x:v>
      </x:c>
      <x:c r="C60" s="208" t="n">
        <x:f>'Assumptions'!D23/12</x:f>
        <x:v>0.005883333333333333</x:v>
      </x:c>
      <x:c r="D60" s="204" t="n">
        <x:f>B60*C60</x:f>
        <x:v>22330.01107434522</x:v>
      </x:c>
      <x:c r="E60" s="204" t="n">
        <x:f>MIN(B60,F60-D60)</x:f>
        <x:v>120414.27657969102</x:v>
      </x:c>
      <x:c r="F60" s="204" t="n">
        <x:f>'Scenario Summary'!$D$27/12</x:f>
        <x:v>142744.28765403625</x:v>
      </x:c>
      <x:c r="G60" s="204" t="n">
        <x:f>MAX(0,B60-E60)</x:f>
        <x:v>3675055.0278415927</x:v>
      </x:c>
    </x:row>
    <x:row r="61">
      <x:c r="A61" s="112" t="n">
        <x:v>57</x:v>
      </x:c>
      <x:c r="B61" s="204" t="n">
        <x:f>G60</x:f>
        <x:v>3675055.0278415927</x:v>
      </x:c>
      <x:c r="C61" s="208" t="n">
        <x:f>'Assumptions'!D23/12</x:f>
        <x:v>0.005883333333333333</x:v>
      </x:c>
      <x:c r="D61" s="204" t="n">
        <x:f>B61*C61</x:f>
        <x:v>21621.573747134702</x:v>
      </x:c>
      <x:c r="E61" s="204" t="n">
        <x:f>MIN(B61,F61-D61)</x:f>
        <x:v>121122.71390690154</x:v>
      </x:c>
      <x:c r="F61" s="204" t="n">
        <x:f>'Scenario Summary'!$D$27/12</x:f>
        <x:v>142744.28765403625</x:v>
      </x:c>
      <x:c r="G61" s="204" t="n">
        <x:f>MAX(0,B61-E61)</x:f>
        <x:v>3553932.3139346913</x:v>
      </x:c>
    </x:row>
    <x:row r="62">
      <x:c r="A62" s="112" t="n">
        <x:v>58</x:v>
      </x:c>
      <x:c r="B62" s="204" t="n">
        <x:f>G61</x:f>
        <x:v>3553932.3139346913</x:v>
      </x:c>
      <x:c r="C62" s="208" t="n">
        <x:f>'Assumptions'!D23/12</x:f>
        <x:v>0.005883333333333333</x:v>
      </x:c>
      <x:c r="D62" s="204" t="n">
        <x:f>B62*C62</x:f>
        <x:v>20908.968446982435</x:v>
      </x:c>
      <x:c r="E62" s="204" t="n">
        <x:f>MIN(B62,F62-D62)</x:f>
        <x:v>121835.3192070538</x:v>
      </x:c>
      <x:c r="F62" s="204" t="n">
        <x:f>'Scenario Summary'!$D$27/12</x:f>
        <x:v>142744.28765403625</x:v>
      </x:c>
      <x:c r="G62" s="204" t="n">
        <x:f>MAX(0,B62-E62)</x:f>
        <x:v>3432096.9947276376</x:v>
      </x:c>
    </x:row>
    <x:row r="63">
      <x:c r="A63" s="112" t="n">
        <x:v>59</x:v>
      </x:c>
      <x:c r="B63" s="204" t="n">
        <x:f>G62</x:f>
        <x:v>3432096.9947276376</x:v>
      </x:c>
      <x:c r="C63" s="208" t="n">
        <x:f>'Assumptions'!D23/12</x:f>
        <x:v>0.005883333333333333</x:v>
      </x:c>
      <x:c r="D63" s="204" t="n">
        <x:f>B63*C63</x:f>
        <x:v>20192.170652314267</x:v>
      </x:c>
      <x:c r="E63" s="204" t="n">
        <x:f>MIN(B63,F63-D63)</x:f>
        <x:v>122552.11700172198</x:v>
      </x:c>
      <x:c r="F63" s="204" t="n">
        <x:f>'Scenario Summary'!$D$27/12</x:f>
        <x:v>142744.28765403625</x:v>
      </x:c>
      <x:c r="G63" s="204" t="n">
        <x:f>MAX(0,B63-E63)</x:f>
        <x:v>3309544.8777259155</x:v>
      </x:c>
    </x:row>
    <x:row r="64">
      <x:c r="A64" s="112" t="n">
        <x:v>60</x:v>
      </x:c>
      <x:c r="B64" s="204" t="n">
        <x:f>G63</x:f>
        <x:v>3309544.8777259155</x:v>
      </x:c>
      <x:c r="C64" s="208" t="n">
        <x:f>'Assumptions'!D23/12</x:f>
        <x:v>0.005883333333333333</x:v>
      </x:c>
      <x:c r="D64" s="204" t="n">
        <x:f>B64*C64</x:f>
        <x:v>19471.155697287468</x:v>
      </x:c>
      <x:c r="E64" s="204" t="n">
        <x:f>MIN(B64,F64-D64)</x:f>
        <x:v>123273.13195674878</x:v>
      </x:c>
      <x:c r="F64" s="204" t="n">
        <x:f>'Scenario Summary'!$D$27/12</x:f>
        <x:v>142744.28765403625</x:v>
      </x:c>
      <x:c r="G64" s="204" t="n">
        <x:f>MAX(0,B64-E64)</x:f>
        <x:v>3186271.745769167</x:v>
      </x:c>
    </x:row>
    <x:row r="65">
      <x:c r="A65" s="112" t="n">
        <x:v>61</x:v>
      </x:c>
      <x:c r="B65" s="204" t="n">
        <x:f>G64</x:f>
        <x:v>3186271.745769167</x:v>
      </x:c>
      <x:c r="C65" s="208" t="n">
        <x:f>'Assumptions'!D23/12</x:f>
        <x:v>0.005883333333333333</x:v>
      </x:c>
      <x:c r="D65" s="204" t="n">
        <x:f>B65*C65</x:f>
        <x:v>18745.89877094193</x:v>
      </x:c>
      <x:c r="E65" s="204" t="n">
        <x:f>MIN(B65,F65-D65)</x:f>
        <x:v>123998.38888309432</x:v>
      </x:c>
      <x:c r="F65" s="204" t="n">
        <x:f>'Scenario Summary'!$D$27/12</x:f>
        <x:v>142744.28765403625</x:v>
      </x:c>
      <x:c r="G65" s="204" t="n">
        <x:f>MAX(0,B65-E65)</x:f>
        <x:v>3062273.3568860725</x:v>
      </x:c>
    </x:row>
    <x:row r="66">
      <x:c r="A66" s="112" t="n">
        <x:v>62</x:v>
      </x:c>
      <x:c r="B66" s="204" t="n">
        <x:f>G65</x:f>
        <x:v>3062273.3568860725</x:v>
      </x:c>
      <x:c r="C66" s="208" t="n">
        <x:f>'Assumptions'!D23/12</x:f>
        <x:v>0.005883333333333333</x:v>
      </x:c>
      <x:c r="D66" s="204" t="n">
        <x:f>B66*C66</x:f>
        <x:v>18016.374916346394</x:v>
      </x:c>
      <x:c r="E66" s="204" t="n">
        <x:f>MIN(B66,F66-D66)</x:f>
        <x:v>124727.91273768985</x:v>
      </x:c>
      <x:c r="F66" s="204" t="n">
        <x:f>'Scenario Summary'!$D$27/12</x:f>
        <x:v>142744.28765403625</x:v>
      </x:c>
      <x:c r="G66" s="204" t="n">
        <x:f>MAX(0,B66-E66)</x:f>
        <x:v>2937545.4441483826</x:v>
      </x:c>
    </x:row>
    <x:row r="67">
      <x:c r="A67" s="112" t="n">
        <x:v>63</x:v>
      </x:c>
      <x:c r="B67" s="204" t="n">
        <x:f>G66</x:f>
        <x:v>2937545.4441483826</x:v>
      </x:c>
      <x:c r="C67" s="208" t="n">
        <x:f>'Assumptions'!D23/12</x:f>
        <x:v>0.005883333333333333</x:v>
      </x:c>
      <x:c r="D67" s="204" t="n">
        <x:f>B67*C67</x:f>
        <x:v>17282.559029739652</x:v>
      </x:c>
      <x:c r="E67" s="204" t="n">
        <x:f>MIN(B67,F67-D67)</x:f>
        <x:v>125461.7286242966</x:v>
      </x:c>
      <x:c r="F67" s="204" t="n">
        <x:f>'Scenario Summary'!$D$27/12</x:f>
        <x:v>142744.28765403625</x:v>
      </x:c>
      <x:c r="G67" s="204" t="n">
        <x:f>MAX(0,B67-E67)</x:f>
        <x:v>2812083.7155240863</x:v>
      </x:c>
    </x:row>
    <x:row r="68">
      <x:c r="A68" s="112" t="n">
        <x:v>64</x:v>
      </x:c>
      <x:c r="B68" s="204" t="n">
        <x:f>G67</x:f>
        <x:v>2812083.7155240863</x:v>
      </x:c>
      <x:c r="C68" s="208" t="n">
        <x:f>'Assumptions'!D23/12</x:f>
        <x:v>0.005883333333333333</x:v>
      </x:c>
      <x:c r="D68" s="204" t="n">
        <x:f>B68*C68</x:f>
        <x:v>16544.425859666706</x:v>
      </x:c>
      <x:c r="E68" s="204" t="n">
        <x:f>MIN(B68,F68-D68)</x:f>
        <x:v>126199.86179436954</x:v>
      </x:c>
      <x:c r="F68" s="204" t="n">
        <x:f>'Scenario Summary'!$D$27/12</x:f>
        <x:v>142744.28765403625</x:v>
      </x:c>
      <x:c r="G68" s="204" t="n">
        <x:f>MAX(0,B68-E68)</x:f>
        <x:v>2685883.8537297165</x:v>
      </x:c>
    </x:row>
    <x:row r="69">
      <x:c r="A69" s="112" t="n">
        <x:v>65</x:v>
      </x:c>
      <x:c r="B69" s="204" t="n">
        <x:f>G68</x:f>
        <x:v>2685883.8537297165</x:v>
      </x:c>
      <x:c r="C69" s="208" t="n">
        <x:f>'Assumptions'!D23/12</x:f>
        <x:v>0.005883333333333333</x:v>
      </x:c>
      <x:c r="D69" s="204" t="n">
        <x:f>B69*C69</x:f>
        <x:v>15801.950006109832</x:v>
      </x:c>
      <x:c r="E69" s="204" t="n">
        <x:f>MIN(B69,F69-D69)</x:f>
        <x:v>126942.33764792641</x:v>
      </x:c>
      <x:c r="F69" s="204" t="n">
        <x:f>'Scenario Summary'!$D$27/12</x:f>
        <x:v>142744.28765403625</x:v>
      </x:c>
      <x:c r="G69" s="204" t="n">
        <x:f>MAX(0,B69-E69)</x:f>
        <x:v>2558941.51608179</x:v>
      </x:c>
    </x:row>
    <x:row r="70">
      <x:c r="A70" s="112" t="n">
        <x:v>66</x:v>
      </x:c>
      <x:c r="B70" s="204" t="n">
        <x:f>G69</x:f>
        <x:v>2558941.51608179</x:v>
      </x:c>
      <x:c r="C70" s="208" t="n">
        <x:f>'Assumptions'!D23/12</x:f>
        <x:v>0.005883333333333333</x:v>
      </x:c>
      <x:c r="D70" s="204" t="n">
        <x:f>B70*C70</x:f>
        <x:v>15055.10591961453</x:v>
      </x:c>
      <x:c r="E70" s="204" t="n">
        <x:f>MIN(B70,F70-D70)</x:f>
        <x:v>127689.18173442171</x:v>
      </x:c>
      <x:c r="F70" s="204" t="n">
        <x:f>'Scenario Summary'!$D$27/12</x:f>
        <x:v>142744.28765403625</x:v>
      </x:c>
      <x:c r="G70" s="204" t="n">
        <x:f>MAX(0,B70-E70)</x:f>
        <x:v>2431252.334347368</x:v>
      </x:c>
    </x:row>
    <x:row r="71">
      <x:c r="A71" s="112" t="n">
        <x:v>67</x:v>
      </x:c>
      <x:c r="B71" s="204" t="n">
        <x:f>G70</x:f>
        <x:v>2431252.334347368</x:v>
      </x:c>
      <x:c r="C71" s="208" t="n">
        <x:f>'Assumptions'!D23/12</x:f>
        <x:v>0.005883333333333333</x:v>
      </x:c>
      <x:c r="D71" s="204" t="n">
        <x:f>B71*C71</x:f>
        <x:v>14303.867900410349</x:v>
      </x:c>
      <x:c r="E71" s="204" t="n">
        <x:f>MIN(B71,F71-D71)</x:f>
        <x:v>128440.4197536259</x:v>
      </x:c>
      <x:c r="F71" s="204" t="n">
        <x:f>'Scenario Summary'!$D$27/12</x:f>
        <x:v>142744.28765403625</x:v>
      </x:c>
      <x:c r="G71" s="204" t="n">
        <x:f>MAX(0,B71-E71)</x:f>
        <x:v>2302811.914593742</x:v>
      </x:c>
    </x:row>
    <x:row r="72">
      <x:c r="A72" s="112" t="n">
        <x:v>68</x:v>
      </x:c>
      <x:c r="B72" s="204" t="n">
        <x:f>G71</x:f>
        <x:v>2302811.914593742</x:v>
      </x:c>
      <x:c r="C72" s="208" t="n">
        <x:f>'Assumptions'!D23/12</x:f>
        <x:v>0.005883333333333333</x:v>
      </x:c>
      <x:c r="D72" s="204" t="n">
        <x:f>B72*C72</x:f>
        <x:v>13548.210097526517</x:v>
      </x:c>
      <x:c r="E72" s="204" t="n">
        <x:f>MIN(B72,F72-D72)</x:f>
        <x:v>129196.07755650973</x:v>
      </x:c>
      <x:c r="F72" s="204" t="n">
        <x:f>'Scenario Summary'!$D$27/12</x:f>
        <x:v>142744.28765403625</x:v>
      </x:c>
      <x:c r="G72" s="204" t="n">
        <x:f>MAX(0,B72-E72)</x:f>
        <x:v>2173615.8370372327</x:v>
      </x:c>
    </x:row>
    <x:row r="73">
      <x:c r="A73" s="112" t="n">
        <x:v>69</x:v>
      </x:c>
      <x:c r="B73" s="204" t="n">
        <x:f>G72</x:f>
        <x:v>2173615.8370372327</x:v>
      </x:c>
      <x:c r="C73" s="208" t="n">
        <x:f>'Assumptions'!D23/12</x:f>
        <x:v>0.005883333333333333</x:v>
      </x:c>
      <x:c r="D73" s="204" t="n">
        <x:f>B73*C73</x:f>
        <x:v>12788.106507902387</x:v>
      </x:c>
      <x:c r="E73" s="204" t="n">
        <x:f>MIN(B73,F73-D73)</x:f>
        <x:v>129956.18114613387</x:v>
      </x:c>
      <x:c r="F73" s="204" t="n">
        <x:f>'Scenario Summary'!$D$27/12</x:f>
        <x:v>142744.28765403625</x:v>
      </x:c>
      <x:c r="G73" s="204" t="n">
        <x:f>MAX(0,B73-E73)</x:f>
        <x:v>2043659.6558910988</x:v>
      </x:c>
    </x:row>
    <x:row r="74">
      <x:c r="A74" s="112" t="n">
        <x:v>70</x:v>
      </x:c>
      <x:c r="B74" s="204" t="n">
        <x:f>G73</x:f>
        <x:v>2043659.6558910988</x:v>
      </x:c>
      <x:c r="C74" s="208" t="n">
        <x:f>'Assumptions'!D23/12</x:f>
        <x:v>0.005883333333333333</x:v>
      </x:c>
      <x:c r="D74" s="204" t="n">
        <x:f>B74*C74</x:f>
        <x:v>12023.530975492631</x:v>
      </x:c>
      <x:c r="E74" s="204" t="n">
        <x:f>MIN(B74,F74-D74)</x:f>
        <x:v>130720.75667854362</x:v>
      </x:c>
      <x:c r="F74" s="204" t="n">
        <x:f>'Scenario Summary'!$D$27/12</x:f>
        <x:v>142744.28765403625</x:v>
      </x:c>
      <x:c r="G74" s="204" t="n">
        <x:f>MAX(0,B74-E74)</x:f>
        <x:v>1912938.8992125553</x:v>
      </x:c>
    </x:row>
    <x:row r="75">
      <x:c r="A75" s="112" t="n">
        <x:v>71</x:v>
      </x:c>
      <x:c r="B75" s="204" t="n">
        <x:f>G74</x:f>
        <x:v>1912938.8992125553</x:v>
      </x:c>
      <x:c r="C75" s="208" t="n">
        <x:f>'Assumptions'!D23/12</x:f>
        <x:v>0.005883333333333333</x:v>
      </x:c>
      <x:c r="D75" s="204" t="n">
        <x:f>B75*C75</x:f>
        <x:v>11254.4571903672</x:v>
      </x:c>
      <x:c r="E75" s="204" t="n">
        <x:f>MIN(B75,F75-D75)</x:f>
        <x:v>131489.83046366906</x:v>
      </x:c>
      <x:c r="F75" s="204" t="n">
        <x:f>'Scenario Summary'!$D$27/12</x:f>
        <x:v>142744.28765403625</x:v>
      </x:c>
      <x:c r="G75" s="204" t="n">
        <x:f>MAX(0,B75-E75)</x:f>
        <x:v>1781449.0687488862</x:v>
      </x:c>
    </x:row>
    <x:row r="76">
      <x:c r="A76" s="112" t="n">
        <x:v>72</x:v>
      </x:c>
      <x:c r="B76" s="204" t="n">
        <x:f>G75</x:f>
        <x:v>1781449.0687488862</x:v>
      </x:c>
      <x:c r="C76" s="208" t="n">
        <x:f>'Assumptions'!D23/12</x:f>
        <x:v>0.005883333333333333</x:v>
      </x:c>
      <x:c r="D76" s="204" t="n">
        <x:f>B76*C76</x:f>
        <x:v>10480.858687805947</x:v>
      </x:c>
      <x:c r="E76" s="204" t="n">
        <x:f>MIN(B76,F76-D76)</x:f>
        <x:v>132263.4289662303</x:v>
      </x:c>
      <x:c r="F76" s="204" t="n">
        <x:f>'Scenario Summary'!$D$27/12</x:f>
        <x:v>142744.28765403625</x:v>
      </x:c>
      <x:c r="G76" s="204" t="n">
        <x:f>MAX(0,B76-E76)</x:f>
        <x:v>1649185.639782656</x:v>
      </x:c>
    </x:row>
    <x:row r="77">
      <x:c r="A77" s="112" t="n">
        <x:v>73</x:v>
      </x:c>
      <x:c r="B77" s="204" t="n">
        <x:f>G76</x:f>
        <x:v>1649185.639782656</x:v>
      </x:c>
      <x:c r="C77" s="208" t="n">
        <x:f>'Assumptions'!D23/12</x:f>
        <x:v>0.005883333333333333</x:v>
      </x:c>
      <x:c r="D77" s="204" t="n">
        <x:f>B77*C77</x:f>
        <x:v>9702.70884738796</x:v>
      </x:c>
      <x:c r="E77" s="204" t="n">
        <x:f>MIN(B77,F77-D77)</x:f>
        <x:v>133041.5788066483</x:v>
      </x:c>
      <x:c r="F77" s="204" t="n">
        <x:f>'Scenario Summary'!$D$27/12</x:f>
        <x:v>142744.28765403625</x:v>
      </x:c>
      <x:c r="G77" s="204" t="n">
        <x:f>MAX(0,B77-E77)</x:f>
        <x:v>1516144.0609760077</x:v>
      </x:c>
    </x:row>
    <x:row r="78">
      <x:c r="A78" s="112" t="n">
        <x:v>74</x:v>
      </x:c>
      <x:c r="B78" s="204" t="n">
        <x:f>G77</x:f>
        <x:v>1516144.0609760077</x:v>
      </x:c>
      <x:c r="C78" s="208" t="n">
        <x:f>'Assumptions'!D23/12</x:f>
        <x:v>0.005883333333333333</x:v>
      </x:c>
      <x:c r="D78" s="204" t="n">
        <x:f>B78*C78</x:f>
        <x:v>8919.980892075511</x:v>
      </x:c>
      <x:c r="E78" s="204" t="n">
        <x:f>MIN(B78,F78-D78)</x:f>
        <x:v>133824.30676196073</x:v>
      </x:c>
      <x:c r="F78" s="204" t="n">
        <x:f>'Scenario Summary'!$D$27/12</x:f>
        <x:v>142744.28765403625</x:v>
      </x:c>
      <x:c r="G78" s="204" t="n">
        <x:f>MAX(0,B78-E78)</x:f>
        <x:v>1382319.754214047</x:v>
      </x:c>
    </x:row>
    <x:row r="79">
      <x:c r="A79" s="112" t="n">
        <x:v>75</x:v>
      </x:c>
      <x:c r="B79" s="204" t="n">
        <x:f>G78</x:f>
        <x:v>1382319.754214047</x:v>
      </x:c>
      <x:c r="C79" s="208" t="n">
        <x:f>'Assumptions'!D23/12</x:f>
        <x:v>0.005883333333333333</x:v>
      </x:c>
      <x:c r="D79" s="204" t="n">
        <x:f>B79*C79</x:f>
        <x:v>8132.647887292643</x:v>
      </x:c>
      <x:c r="E79" s="204" t="n">
        <x:f>MIN(B79,F79-D79)</x:f>
        <x:v>134611.6397667436</x:v>
      </x:c>
      <x:c r="F79" s="204" t="n">
        <x:f>'Scenario Summary'!$D$27/12</x:f>
        <x:v>142744.28765403625</x:v>
      </x:c>
      <x:c r="G79" s="204" t="n">
        <x:f>MAX(0,B79-E79)</x:f>
        <x:v>1247708.1144473033</x:v>
      </x:c>
    </x:row>
    <x:row r="80">
      <x:c r="A80" s="112" t="n">
        <x:v>76</x:v>
      </x:c>
      <x:c r="B80" s="204" t="n">
        <x:f>G79</x:f>
        <x:v>1247708.1144473033</x:v>
      </x:c>
      <x:c r="C80" s="208" t="n">
        <x:f>'Assumptions'!D23/12</x:f>
        <x:v>0.005883333333333333</x:v>
      </x:c>
      <x:c r="D80" s="204" t="n">
        <x:f>B80*C80</x:f>
        <x:v>7340.682739998301</x:v>
      </x:c>
      <x:c r="E80" s="204" t="n">
        <x:f>MIN(B80,F80-D80)</x:f>
        <x:v>135403.60491403795</x:v>
      </x:c>
      <x:c r="F80" s="204" t="n">
        <x:f>'Scenario Summary'!$D$27/12</x:f>
        <x:v>142744.28765403625</x:v>
      </x:c>
      <x:c r="G80" s="204" t="n">
        <x:f>MAX(0,B80-E80)</x:f>
        <x:v>1112304.5095332654</x:v>
      </x:c>
    </x:row>
    <x:row r="81">
      <x:c r="A81" s="112" t="n">
        <x:v>77</x:v>
      </x:c>
      <x:c r="B81" s="204" t="n">
        <x:f>G80</x:f>
        <x:v>1112304.5095332654</x:v>
      </x:c>
      <x:c r="C81" s="208" t="n">
        <x:f>'Assumptions'!D23/12</x:f>
        <x:v>0.005883333333333333</x:v>
      </x:c>
      <x:c r="D81" s="204" t="n">
        <x:f>B81*C81</x:f>
        <x:v>6544.058197754044</x:v>
      </x:c>
      <x:c r="E81" s="204" t="n">
        <x:f>MIN(B81,F81-D81)</x:f>
        <x:v>136200.2294562822</x:v>
      </x:c>
      <x:c r="F81" s="204" t="n">
        <x:f>'Scenario Summary'!$D$27/12</x:f>
        <x:v>142744.28765403625</x:v>
      </x:c>
      <x:c r="G81" s="204" t="n">
        <x:f>MAX(0,B81-E81)</x:f>
        <x:v>976104.2800769832</x:v>
      </x:c>
    </x:row>
    <x:row r="82">
      <x:c r="A82" s="112" t="n">
        <x:v>78</x:v>
      </x:c>
      <x:c r="B82" s="204" t="n">
        <x:f>G81</x:f>
        <x:v>976104.2800769832</x:v>
      </x:c>
      <x:c r="C82" s="208" t="n">
        <x:f>'Assumptions'!D23/12</x:f>
        <x:v>0.005883333333333333</x:v>
      </x:c>
      <x:c r="D82" s="204" t="n">
        <x:f>B82*C82</x:f>
        <x:v>5742.746847786251</x:v>
      </x:c>
      <x:c r="E82" s="204" t="n">
        <x:f>MIN(B82,F82-D82)</x:f>
        <x:v>137001.54080625</x:v>
      </x:c>
      <x:c r="F82" s="204" t="n">
        <x:f>'Scenario Summary'!$D$27/12</x:f>
        <x:v>142744.28765403625</x:v>
      </x:c>
      <x:c r="G82" s="204" t="n">
        <x:f>MAX(0,B82-E82)</x:f>
        <x:v>839102.7392707332</x:v>
      </x:c>
    </x:row>
    <x:row r="83">
      <x:c r="A83" s="112" t="n">
        <x:v>79</x:v>
      </x:c>
      <x:c r="B83" s="204" t="n">
        <x:f>G82</x:f>
        <x:v>839102.7392707332</x:v>
      </x:c>
      <x:c r="C83" s="208" t="n">
        <x:f>'Assumptions'!D23/12</x:f>
        <x:v>0.005883333333333333</x:v>
      </x:c>
      <x:c r="D83" s="204" t="n">
        <x:f>B83*C83</x:f>
        <x:v>4936.721116042813</x:v>
      </x:c>
      <x:c r="E83" s="204" t="n">
        <x:f>MIN(B83,F83-D83)</x:f>
        <x:v>137807.56653799344</x:v>
      </x:c>
      <x:c r="F83" s="204" t="n">
        <x:f>'Scenario Summary'!$D$27/12</x:f>
        <x:v>142744.28765403625</x:v>
      </x:c>
      <x:c r="G83" s="204" t="n">
        <x:f>MAX(0,B83-E83)</x:f>
        <x:v>701295.1727327397</x:v>
      </x:c>
    </x:row>
    <x:row r="84">
      <x:c r="A84" s="112" t="n">
        <x:v>80</x:v>
      </x:c>
      <x:c r="B84" s="204" t="n">
        <x:f>G83</x:f>
        <x:v>701295.1727327397</x:v>
      </x:c>
      <x:c r="C84" s="208" t="n">
        <x:f>'Assumptions'!D23/12</x:f>
        <x:v>0.005883333333333333</x:v>
      </x:c>
      <x:c r="D84" s="204" t="n">
        <x:f>B84*C84</x:f>
        <x:v>4125.953266244285</x:v>
      </x:c>
      <x:c r="E84" s="204" t="n">
        <x:f>MIN(B84,F84-D84)</x:f>
        <x:v>138618.33438779195</x:v>
      </x:c>
      <x:c r="F84" s="204" t="n">
        <x:f>'Scenario Summary'!$D$27/12</x:f>
        <x:v>142744.28765403625</x:v>
      </x:c>
      <x:c r="G84" s="204" t="n">
        <x:f>MAX(0,B84-E84)</x:f>
        <x:v>562676.8383449478</x:v>
      </x:c>
    </x:row>
    <x:row r="85">
      <x:c r="A85" s="112" t="n">
        <x:v>81</x:v>
      </x:c>
      <x:c r="B85" s="204" t="n">
        <x:f>G84</x:f>
        <x:v>562676.8383449478</x:v>
      </x:c>
      <x:c r="C85" s="208" t="n">
        <x:f>'Assumptions'!D23/12</x:f>
        <x:v>0.005883333333333333</x:v>
      </x:c>
      <x:c r="D85" s="204" t="n">
        <x:f>B85*C85</x:f>
        <x:v>3310.4153989294427</x:v>
      </x:c>
      <x:c r="E85" s="204" t="n">
        <x:f>MIN(B85,F85-D85)</x:f>
        <x:v>139433.8722551068</x:v>
      </x:c>
      <x:c r="F85" s="204" t="n">
        <x:f>'Scenario Summary'!$D$27/12</x:f>
        <x:v>142744.28765403625</x:v>
      </x:c>
      <x:c r="G85" s="204" t="n">
        <x:f>MAX(0,B85-E85)</x:f>
        <x:v>423242.966089841</x:v>
      </x:c>
    </x:row>
    <x:row r="86">
      <x:c r="A86" s="112" t="n">
        <x:v>82</x:v>
      </x:c>
      <x:c r="B86" s="204" t="n">
        <x:f>G85</x:f>
        <x:v>423242.966089841</x:v>
      </x:c>
      <x:c r="C86" s="208" t="n">
        <x:f>'Assumptions'!D23/12</x:f>
        <x:v>0.005883333333333333</x:v>
      </x:c>
      <x:c r="D86" s="204" t="n">
        <x:f>B86*C86</x:f>
        <x:v>2490.079450495231</x:v>
      </x:c>
      <x:c r="E86" s="204" t="n">
        <x:f>MIN(B86,F86-D86)</x:f>
        <x:v>140254.20820354103</x:v>
      </x:c>
      <x:c r="F86" s="204" t="n">
        <x:f>'Scenario Summary'!$D$27/12</x:f>
        <x:v>142744.28765403625</x:v>
      </x:c>
      <x:c r="G86" s="204" t="n">
        <x:f>MAX(0,B86-E86)</x:f>
        <x:v>282988.7578863</x:v>
      </x:c>
    </x:row>
    <x:row r="87">
      <x:c r="A87" s="112" t="n">
        <x:v>83</x:v>
      </x:c>
      <x:c r="B87" s="204" t="n">
        <x:f>G86</x:f>
        <x:v>282988.7578863</x:v>
      </x:c>
      <x:c r="C87" s="208" t="n">
        <x:f>'Assumptions'!D23/12</x:f>
        <x:v>0.005883333333333333</x:v>
      </x:c>
      <x:c r="D87" s="204" t="n">
        <x:f>B87*C87</x:f>
        <x:v>1664.917192231065</x:v>
      </x:c>
      <x:c r="E87" s="204" t="n">
        <x:f>MIN(B87,F87-D87)</x:f>
        <x:v>141079.37046180517</x:v>
      </x:c>
      <x:c r="F87" s="204" t="n">
        <x:f>'Scenario Summary'!$D$27/12</x:f>
        <x:v>142744.28765403625</x:v>
      </x:c>
      <x:c r="G87" s="204" t="n">
        <x:f>MAX(0,B87-E87)</x:f>
        <x:v>141909.3874244948</x:v>
      </x:c>
    </x:row>
    <x:row r="88">
      <x:c r="A88" s="112" t="n">
        <x:v>84</x:v>
      </x:c>
      <x:c r="B88" s="204" t="n">
        <x:f>G87</x:f>
        <x:v>141909.3874244948</x:v>
      </x:c>
      <x:c r="C88" s="208" t="n">
        <x:f>'Assumptions'!D23/12</x:f>
        <x:v>0.005883333333333333</x:v>
      </x:c>
      <x:c r="D88" s="204" t="n">
        <x:f>B88*C88</x:f>
        <x:v>834.9002293474445</x:v>
      </x:c>
      <x:c r="E88" s="204" t="n">
        <x:f>MIN(B88,F88-D88)</x:f>
        <x:v>141909.3874244948</x:v>
      </x:c>
      <x:c r="F88" s="204" t="n">
        <x:f>'Scenario Summary'!$D$27/12</x:f>
        <x:v>142744.28765403625</x:v>
      </x:c>
      <x:c r="G88" s="204" t="n">
        <x:f>MAX(0,B88-E88)</x:f>
        <x:v>0</x:v>
      </x:c>
    </x:row>
  </x:sheetData>
  <x:mergeCells>
    <x:mergeCell ref="A1:G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50" hidden="0" customWidth="1"/>
    <x:col min="3" max="3" width="20" hidden="0" customWidth="1"/>
    <x:col min="4" max="4" width="20" hidden="0" customWidth="1"/>
    <x:col min="5" max="5" width="45" hidden="0" customWidth="1"/>
    <x:col min="6" max="6" width="45" hidden="0" customWidth="1"/>
    <x:col min="7" max="7" width="45" hidden="0" customWidth="1"/>
    <x:col min="8" max="8" width="45" hidden="0" customWidth="1"/>
  </x:cols>
  <x:sheetData>
    <x:row r="1" ht="30" customHeight="1">
      <x:c r="A1" s="111" t="str">
        <x:v>Commercial Validation Gates</x:v>
      </x:c>
      <x:c r="B1" s="111"/>
      <x:c r="C1" s="111"/>
      <x:c r="D1" s="111"/>
      <x:c r="E1" s="111"/>
      <x:c r="F1" s="111"/>
      <x:c r="G1" s="111"/>
      <x:c r="H1" s="111"/>
    </x:row>
    <x:row r="2" ht="30" customHeight="1">
      <x:c r="A2" s="111"/>
      <x:c r="B2" s="111"/>
      <x:c r="C2" s="111"/>
      <x:c r="D2" s="111"/>
      <x:c r="E2" s="111"/>
      <x:c r="F2" s="111"/>
      <x:c r="G2" s="111"/>
      <x:c r="H2" s="111"/>
    </x:row>
    <x:row r="3">
      <x:c r="A3" s="112"/>
      <x:c r="B3" s="112"/>
      <x:c r="C3" s="112"/>
      <x:c r="D3" s="112"/>
      <x:c r="E3" s="112"/>
      <x:c r="F3" s="112"/>
      <x:c r="G3" s="112"/>
      <x:c r="H3" s="112"/>
    </x:row>
    <x:row r="4">
      <x:c r="A4" s="143" t="str">
        <x:v>Gate</x:v>
      </x:c>
      <x:c r="B4" s="144" t="str">
        <x:v>Critical evidence</x:v>
      </x:c>
      <x:c r="C4" s="144" t="str">
        <x:v>Current status</x:v>
      </x:c>
      <x:c r="D4" s="144" t="str">
        <x:v>Owner</x:v>
      </x:c>
      <x:c r="E4" s="144" t="str">
        <x:v>Target / threshold</x:v>
      </x:c>
      <x:c r="F4" s="144" t="str">
        <x:v>Evidence reference</x:v>
      </x:c>
      <x:c r="G4" s="144" t="str">
        <x:v>Expiry / refresh</x:v>
      </x:c>
      <x:c r="H4" s="145" t="str">
        <x:v>Decision consequence</x:v>
      </x:c>
    </x:row>
    <x:row r="5">
      <x:c r="A5" s="115" t="str">
        <x:v>A — Milk buyer</x:v>
      </x:c>
      <x:c r="B5" s="115" t="str">
        <x:v>Primary written offer plus credible backup</x:v>
      </x:c>
      <x:c r="C5" s="115" t="str">
        <x:v>BLOCKER</x:v>
      </x:c>
      <x:c r="D5" s="115" t="str">
        <x:v>Commercial lead</x:v>
      </x:c>
      <x:c r="E5" s="115" t="str">
        <x:v>Capacity &gt;= launch volume; price formula; payment days; rejection rules</x:v>
      </x:c>
      <x:c r="F5" s="115" t="str">
        <x:v>DDC/Bardiya routes are leads only</x:v>
      </x:c>
      <x:c r="G5" s="115" t="str">
        <x:v>Before financial close</x:v>
      </x:c>
      <x:c r="H5" s="115" t="str">
        <x:v>No cows / no civil commitment</x:v>
      </x:c>
    </x:row>
    <x:row r="6">
      <x:c r="A6" s="115" t="str">
        <x:v>B — Site, land, water</x:v>
      </x:c>
      <x:c r="B6" s="115" t="str">
        <x:v>Tenure, survey, flood/drainage, bore yield, water quality, irrigation</x:v>
      </x:c>
      <x:c r="C6" s="115" t="str">
        <x:v>BLOCKER</x:v>
      </x:c>
      <x:c r="D6" s="115" t="str">
        <x:v>Site lead</x:v>
      </x:c>
      <x:c r="E6" s="115" t="str">
        <x:v>Year-round access and water; feed land/control matches ration</x:v>
      </x:c>
      <x:c r="F6" s="115" t="str">
        <x:v>Municipal/DWRI context is not site proof</x:v>
      </x:c>
      <x:c r="G6" s="115" t="str">
        <x:v>Before design freeze</x:v>
      </x:c>
      <x:c r="H6" s="115" t="str">
        <x:v>Reject or redesign site</x:v>
      </x:c>
    </x:row>
    <x:row r="7">
      <x:c r="A7" s="115" t="str">
        <x:v>C — Feed and fodder</x:v>
      </x:c>
      <x:c r="B7" s="115" t="str">
        <x:v>Local yields, ration, 3 ingredient quotes, annual roughage plan</x:v>
      </x:c>
      <x:c r="C7" s="115" t="str">
        <x:v>BLOCKER</x:v>
      </x:c>
      <x:c r="D7" s="115" t="str">
        <x:v>Nutrition/agronomy</x:v>
      </x:c>
      <x:c r="E7" s="115" t="str">
        <x:v>Base feed cost and 90-day pre-arrival inventory validated</x:v>
      </x:c>
      <x:c r="F7" s="115" t="str">
        <x:v>Benchmarks only</x:v>
      </x:c>
      <x:c r="G7" s="115" t="str">
        <x:v>Before herd intake</x:v>
      </x:c>
      <x:c r="H7" s="115" t="str">
        <x:v>Delay animals / reduce scale</x:v>
      </x:c>
    </x:row>
    <x:row r="8">
      <x:c r="A8" s="115" t="str">
        <x:v>D — Animal sourcing</x:v>
      </x:c>
      <x:c r="B8" s="115" t="str">
        <x:v>Traceable suppliers, records, vet tests, live prices</x:v>
      </x:c>
      <x:c r="C8" s="115" t="str">
        <x:v>BLOCKER</x:v>
      </x:c>
      <x:c r="D8" s="115" t="str">
        <x:v>Herd/vet lead</x:v>
      </x:c>
      <x:c r="E8" s="115" t="str">
        <x:v>At least 2 qualified sources + backup; batch procurement</x:v>
      </x:c>
      <x:c r="F8" s="115" t="str">
        <x:v>Breeding-network sources are leads only</x:v>
      </x:c>
      <x:c r="G8" s="115" t="str">
        <x:v>Before purchase</x:v>
      </x:c>
      <x:c r="H8" s="115" t="str">
        <x:v>Reject animals / delay</x:v>
      </x:c>
    </x:row>
    <x:row r="9">
      <x:c r="A9" s="115" t="str">
        <x:v>E — Engineering and BOQ</x:v>
      </x:c>
      <x:c r="B9" s="115" t="str">
        <x:v>Surveyed drawings, welfare compliance, 3 comparable BOQs</x:v>
      </x:c>
      <x:c r="C9" s="115" t="str">
        <x:v>BLOCKER</x:v>
      </x:c>
      <x:c r="D9" s="115" t="str">
        <x:v>Engineer</x:v>
      </x:c>
      <x:c r="E9" s="115" t="str">
        <x:v>Quote-backed CAPEX; utilities designed for launch and expansion</x:v>
      </x:c>
      <x:c r="F9" s="115" t="str">
        <x:v>Allowance model only</x:v>
      </x:c>
      <x:c r="G9" s="115" t="str">
        <x:v>Before tender</x:v>
      </x:c>
      <x:c r="H9" s="115" t="str">
        <x:v>Retender / redesign</x:v>
      </x:c>
    </x:row>
    <x:row r="10">
      <x:c r="A10" s="115" t="str">
        <x:v>F — Finance</x:v>
      </x:c>
      <x:c r="B10" s="115" t="str">
        <x:v>Bank sanction(s), collateral, fees, moratorium, repayment</x:v>
      </x:c>
      <x:c r="C10" s="115" t="str">
        <x:v>BLOCKER</x:v>
      </x:c>
      <x:c r="D10" s="115" t="str">
        <x:v>Finance lead</x:v>
      </x:c>
      <x:c r="E10" s="115" t="str">
        <x:v>Downside DSCR &gt;=1.20x; no grant dependency</x:v>
      </x:c>
      <x:c r="F10" s="115" t="str">
        <x:v>Current NRB/ADBL rules are benchmarks</x:v>
      </x:c>
      <x:c r="G10" s="115" t="str">
        <x:v>At financial close</x:v>
      </x:c>
      <x:c r="H10" s="115" t="str">
        <x:v>Reduce debt/scale or NO-GO</x:v>
      </x:c>
    </x:row>
    <x:row r="11">
      <x:c r="A11" s="115" t="str">
        <x:v>G — Insurance</x:v>
      </x:c>
      <x:c r="B11" s="115" t="str">
        <x:v>Policy wording, valuation, premium, subsidy cash treatment</x:v>
      </x:c>
      <x:c r="C11" s="115" t="str">
        <x:v>BLOCKER</x:v>
      </x:c>
      <x:c r="D11" s="115" t="str">
        <x:v>Risk lead</x:v>
      </x:c>
      <x:c r="E11" s="115" t="str">
        <x:v>Coverage active/binding before animals move</x:v>
      </x:c>
      <x:c r="F11" s="115" t="str">
        <x:v>2082 tiered subsidy confirmed publicly</x:v>
      </x:c>
      <x:c r="G11" s="115" t="str">
        <x:v>Before purchase</x:v>
      </x:c>
      <x:c r="H11" s="115" t="str">
        <x:v>No uninsured intake</x:v>
      </x:c>
    </x:row>
    <x:row r="12">
      <x:c r="A12" s="115" t="str">
        <x:v>H — FY2083/84 programmes</x:v>
      </x:c>
      <x:c r="B12" s="115" t="str">
        <x:v>Open notice and farm eligibility</x:v>
      </x:c>
      <x:c r="C12" s="115" t="str">
        <x:v>MONITOR</x:v>
      </x:c>
      <x:c r="D12" s="115" t="str">
        <x:v>Government liaison</x:v>
      </x:c>
      <x:c r="E12" s="115" t="str">
        <x:v>Written approval before grant-dependent purchase</x:v>
      </x:c>
      <x:c r="F12" s="115" t="str">
        <x:v>Budgets exist; no farm award</x:v>
      </x:c>
      <x:c r="G12" s="115" t="str">
        <x:v>At each notice</x:v>
      </x:c>
      <x:c r="H12" s="115" t="str">
        <x:v>Treat as upside only</x:v>
      </x:c>
    </x:row>
    <x:row r="13">
      <x:c r="A13" s="115" t="str">
        <x:v>I — Compliance/environment</x:v>
      </x:c>
      <x:c r="B13" s="115" t="str">
        <x:v>Registration, tax, permit, wastewater/dead stock plan</x:v>
      </x:c>
      <x:c r="C13" s="115" t="str">
        <x:v>BLOCKER</x:v>
      </x:c>
      <x:c r="D13" s="115" t="str">
        <x:v>Compliance/engineer</x:v>
      </x:c>
      <x:c r="E13" s="115" t="str">
        <x:v>Written compliance matrix and approved site design</x:v>
      </x:c>
      <x:c r="F13" s="115" t="str">
        <x:v>Framework identified</x:v>
      </x:c>
      <x:c r="G13" s="115" t="str">
        <x:v>Before civil work</x:v>
      </x:c>
      <x:c r="H13" s="115" t="str">
        <x:v>NO-GO until resolved</x:v>
      </x:c>
    </x:row>
    <x:row r="14">
      <x:c r="A14" s="112"/>
      <x:c r="B14" s="112"/>
      <x:c r="C14" s="112"/>
      <x:c r="D14" s="112"/>
      <x:c r="E14" s="112"/>
      <x:c r="F14" s="112"/>
      <x:c r="G14" s="112"/>
      <x:c r="H14" s="112"/>
    </x:row>
    <x:row r="15">
      <x:c r="A15" s="118" t="str">
        <x:v>Overall commercial decision</x:v>
      </x:c>
      <x:c r="B15" s="118"/>
      <x:c r="C15" s="118" t="str">
        <x:f>IF(COUNTIF(C5:C13,"BLOCKER")&gt;0,"NO-GO",IF(COUNTIF(C5:C13,"OPEN")&gt;0,"NO-GO","CONDITIONAL GO"))</x:f>
        <x:v>NO-GO</x:v>
      </x:c>
      <x:c r="D15" s="112"/>
      <x:c r="E15" s="112"/>
      <x:c r="F15" s="112"/>
      <x:c r="G15" s="112"/>
      <x:c r="H15" s="112"/>
    </x:row>
  </x:sheetData>
  <x:mergeCells>
    <x:mergeCell ref="A1:H2"/>
    <x:mergeCell ref="A15:B15"/>
  </x:mergeCells>
  <x:conditionalFormatting sqref="C5:C13">
    <x:cfRule type="containsText" dxfId="2" priority="1" operator="containsText" text="PASS"/>
    <x:cfRule type="containsText" dxfId="3" priority="2" operator="containsText" text="BLOCKER"/>
    <x:cfRule type="containsText" dxfId="4" priority="3" operator="containsText" text="MONITOR"/>
  </x:conditionalFormatting>
  <x:dataValidations count="1">
    <x:dataValidation type="list" sqref="C5:C13">
      <x:formula1>"PASS,PARTIAL,OPEN,BLOCKER,MONITOR"</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6" hidden="0" customWidth="1"/>
    <x:col min="2" max="2" width="17" hidden="0" customWidth="1"/>
    <x:col min="3" max="3" width="17" hidden="0" customWidth="1"/>
    <x:col min="4" max="4" width="17" hidden="0" customWidth="1"/>
    <x:col min="5" max="5" width="17" hidden="0" customWidth="1"/>
    <x:col min="6" max="6" width="17" hidden="0" customWidth="1"/>
    <x:col min="7" max="7" width="65" hidden="0" customWidth="1"/>
  </x:cols>
  <x:sheetData>
    <x:row r="1" ht="30" customHeight="1">
      <x:c r="A1" s="111" t="str">
        <x:v>Model Checks and Decision Controls</x:v>
      </x:c>
      <x:c r="B1" s="111"/>
      <x:c r="C1" s="111"/>
      <x:c r="D1" s="111"/>
      <x:c r="E1" s="111"/>
      <x:c r="F1" s="111"/>
      <x:c r="G1" s="111"/>
    </x:row>
    <x:row r="2" ht="30" customHeight="1">
      <x:c r="A2" s="111"/>
      <x:c r="B2" s="111"/>
      <x:c r="C2" s="111"/>
      <x:c r="D2" s="111"/>
      <x:c r="E2" s="111"/>
      <x:c r="F2" s="111"/>
      <x:c r="G2" s="111"/>
    </x:row>
    <x:row r="3">
      <x:c r="A3" s="112"/>
      <x:c r="B3" s="112"/>
      <x:c r="C3" s="112"/>
      <x:c r="D3" s="112"/>
      <x:c r="E3" s="112"/>
      <x:c r="F3" s="112"/>
      <x:c r="G3" s="112"/>
    </x:row>
    <x:row r="4">
      <x:c r="A4" s="143" t="str">
        <x:v>Check</x:v>
      </x:c>
      <x:c r="B4" s="144" t="str">
        <x:v>Actual</x:v>
      </x:c>
      <x:c r="C4" s="144" t="str">
        <x:v>Expected</x:v>
      </x:c>
      <x:c r="D4" s="144" t="str">
        <x:v>Difference</x:v>
      </x:c>
      <x:c r="E4" s="144" t="str">
        <x:v>Tolerance</x:v>
      </x:c>
      <x:c r="F4" s="144" t="str">
        <x:v>Status</x:v>
      </x:c>
      <x:c r="G4" s="145" t="str">
        <x:v>Where to fix / note</x:v>
      </x:c>
    </x:row>
    <x:row r="5">
      <x:c r="A5" s="115" t="str">
        <x:v>Base EBITDA arithmetic</x:v>
      </x:c>
      <x:c r="B5" s="192" t="n">
        <x:f>'Scenario Summary'!D21</x:f>
        <x:v>997272.4750000006</x:v>
      </x:c>
      <x:c r="C5" s="192" t="n">
        <x:f>'Scenario Summary'!D11-'Scenario Summary'!D20</x:f>
        <x:v>997272.4750000006</x:v>
      </x:c>
      <x:c r="D5" s="192" t="n">
        <x:f>B5-C5</x:f>
        <x:v>0</x:v>
      </x:c>
      <x:c r="E5" s="192" t="n">
        <x:v>1</x:v>
      </x:c>
      <x:c r="F5" s="115" t="str">
        <x:f>IF(ABS(D5)&lt;=E5,"OK","FAIL")</x:f>
        <x:v>OK</x:v>
      </x:c>
      <x:c r="G5" s="115" t="str">
        <x:v>Scenario Summary formulas</x:v>
      </x:c>
    </x:row>
    <x:row r="6">
      <x:c r="A6" s="115" t="str">
        <x:v>Base revenue arithmetic</x:v>
      </x:c>
      <x:c r="B6" s="192" t="n">
        <x:f>'Scenario Summary'!D11</x:f>
        <x:v>9244422.525</x:v>
      </x:c>
      <x:c r="C6" s="192" t="n">
        <x:f>'Scenario Summary'!D9+'Scenario Summary'!D10</x:f>
        <x:v>9244422.525</x:v>
      </x:c>
      <x:c r="D6" s="192" t="n">
        <x:f>B6-C6</x:f>
        <x:v>0</x:v>
      </x:c>
      <x:c r="E6" s="192" t="n">
        <x:v>1</x:v>
      </x:c>
      <x:c r="F6" s="115" t="str">
        <x:f>IF(ABS(D6)&lt;=E6,"OK","FAIL")</x:f>
        <x:v>OK</x:v>
      </x:c>
      <x:c r="G6" s="115" t="str">
        <x:v>Scenario Summary formulas</x:v>
      </x:c>
    </x:row>
    <x:row r="7">
      <x:c r="A7" s="115" t="str">
        <x:v>Debt begins at funding amount</x:v>
      </x:c>
      <x:c r="B7" s="192" t="n">
        <x:f>'Debt Schedule'!B5</x:f>
        <x:v>9439494.006666666</x:v>
      </x:c>
      <x:c r="C7" s="192" t="n">
        <x:f>'CAPEX &amp; Funding'!E29</x:f>
        <x:v>9439494.006666666</x:v>
      </x:c>
      <x:c r="D7" s="192" t="n">
        <x:f>B7-C7</x:f>
        <x:v>0</x:v>
      </x:c>
      <x:c r="E7" s="192" t="n">
        <x:v>1</x:v>
      </x:c>
      <x:c r="F7" s="115" t="str">
        <x:f>IF(ABS(D7)&lt;=E7,"OK","FAIL")</x:f>
        <x:v>OK</x:v>
      </x:c>
      <x:c r="G7" s="115" t="str">
        <x:v>CAPEX &amp; Funding / Debt Schedule</x:v>
      </x:c>
    </x:row>
    <x:row r="8">
      <x:c r="A8" s="115" t="str">
        <x:v>Debt is non-negative at month 84</x:v>
      </x:c>
      <x:c r="B8" s="192" t="n">
        <x:f>'Debt Schedule'!G88</x:f>
        <x:v>0</x:v>
      </x:c>
      <x:c r="C8" s="192" t="n">
        <x:f>0</x:f>
        <x:v>0</x:v>
      </x:c>
      <x:c r="D8" s="192" t="n">
        <x:f>B8-C8</x:f>
        <x:v>0</x:v>
      </x:c>
      <x:c r="E8" s="192" t="n">
        <x:v>100</x:v>
      </x:c>
      <x:c r="F8" s="115" t="str">
        <x:f>IF(ABS(D8)&lt;=E8,"OK","FAIL")</x:f>
        <x:v>OK</x:v>
      </x:c>
      <x:c r="G8" s="115" t="str">
        <x:v>Debt Schedule</x:v>
      </x:c>
    </x:row>
    <x:row r="9">
      <x:c r="A9" s="115" t="str">
        <x:v>Base milk volume positive</x:v>
      </x:c>
      <x:c r="B9" s="192" t="n">
        <x:f>'Scenario Summary'!D8</x:f>
        <x:v>138079.5</x:v>
      </x:c>
      <x:c r="C9" s="192" t="n">
        <x:f>'Scenario Summary'!D8</x:f>
        <x:v>138079.5</x:v>
      </x:c>
      <x:c r="D9" s="192" t="n">
        <x:f>B9-C9</x:f>
        <x:v>0</x:v>
      </x:c>
      <x:c r="E9" s="192" t="n">
        <x:v>0</x:v>
      </x:c>
      <x:c r="F9" s="115" t="str">
        <x:f>IF(ABS(D9)&lt;=E9,"OK","FAIL")</x:f>
        <x:v>OK</x:v>
      </x:c>
      <x:c r="G9" s="115" t="str">
        <x:v>Assumptions / Scenario Summary</x:v>
      </x:c>
    </x:row>
    <x:row r="10">
      <x:c r="A10" s="115" t="str">
        <x:v>Commercial blockers cleared</x:v>
      </x:c>
      <x:c r="B10" s="192" t="n">
        <x:f>COUNTIF('GO-NO-GO Gates'!C5:C13,"BLOCKER")</x:f>
        <x:v>8</x:v>
      </x:c>
      <x:c r="C10" s="192" t="n">
        <x:f>0</x:f>
        <x:v>0</x:v>
      </x:c>
      <x:c r="D10" s="192" t="n">
        <x:f>B10-C10</x:f>
        <x:v>8</x:v>
      </x:c>
      <x:c r="E10" s="192" t="n">
        <x:v>0</x:v>
      </x:c>
      <x:c r="F10" s="115" t="str">
        <x:f>IF(B10=0,"OK","NO-GO")</x:f>
        <x:v>NO-GO</x:v>
      </x:c>
      <x:c r="G10" s="115" t="str">
        <x:v>GO-NO-GO Gates; this is a business control, not a model error</x:v>
      </x:c>
    </x:row>
    <x:row r="11">
      <x:c r="A11" s="115" t="str">
        <x:v>Downside DSCR gate</x:v>
      </x:c>
      <x:c r="B11" s="215" t="n">
        <x:f>'Scenario Summary'!C28</x:f>
        <x:v>-1.489437125917132</x:v>
      </x:c>
      <x:c r="C11" s="215" t="n">
        <x:f>1.2</x:f>
        <x:v>1.2</x:v>
      </x:c>
      <x:c r="D11" s="192" t="n">
        <x:f>B11-C11</x:f>
        <x:v>-2.6894371259171317</x:v>
      </x:c>
      <x:c r="E11" s="192" t="n">
        <x:v>0</x:v>
      </x:c>
      <x:c r="F11" s="115" t="str">
        <x:f>IF(B11&gt;=C11,"OK","FAIL")</x:f>
        <x:v>FAIL</x:v>
      </x:c>
      <x:c r="G11" s="115" t="str">
        <x:v>Assumptions / lower feed cost, higher price/yield, lower debt or CAPEX</x:v>
      </x:c>
    </x:row>
    <x:row r="12">
      <x:c r="A12" s="115"/>
      <x:c r="B12" s="115"/>
      <x:c r="C12" s="115"/>
      <x:c r="D12" s="115"/>
      <x:c r="E12" s="115"/>
      <x:c r="F12" s="115"/>
      <x:c r="G12" s="115"/>
    </x:row>
    <x:row r="13">
      <x:c r="A13" s="170" t="str">
        <x:v>MODEL STATUS (mechanics)</x:v>
      </x:c>
      <x:c r="B13" s="170"/>
      <x:c r="C13" s="170"/>
      <x:c r="D13" s="170"/>
      <x:c r="E13" s="170"/>
      <x:c r="F13" s="216" t="str">
        <x:f>IF(COUNTIF(F5:F9,"FAIL")=0,"PASS","FAIL")</x:f>
        <x:v>PASS</x:v>
      </x:c>
      <x:c r="G13" s="115"/>
    </x:row>
    <x:row r="14">
      <x:c r="A14" s="170" t="str">
        <x:v>COMMERCIAL DECISION</x:v>
      </x:c>
      <x:c r="B14" s="170"/>
      <x:c r="C14" s="170"/>
      <x:c r="D14" s="170"/>
      <x:c r="E14" s="170"/>
      <x:c r="F14" s="217" t="str">
        <x:f>'GO-NO-GO Gates'!C15</x:f>
        <x:v>NO-GO</x:v>
      </x:c>
      <x:c r="G14" s="115"/>
    </x:row>
  </x:sheetData>
  <x:mergeCells>
    <x:mergeCell ref="A1:G2"/>
    <x:mergeCell ref="A13:E13"/>
    <x:mergeCell ref="A14:E14"/>
  </x:mergeCells>
  <x:conditionalFormatting sqref="F5:F11">
    <x:cfRule type="containsText" dxfId="5" priority="1" operator="containsText" text="OK"/>
    <x:cfRule type="containsText" dxfId="6" priority="2" operator="containsText" text="FAIL"/>
    <x:cfRule type="containsText" dxfId="7" priority="3" operator="containsText" text="NO-GO"/>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60" hidden="0" customWidth="1"/>
    <x:col min="4" max="4" width="22" hidden="0" customWidth="1"/>
    <x:col min="5" max="5" width="22" hidden="0" customWidth="1"/>
    <x:col min="6" max="6" width="22" hidden="0" customWidth="1"/>
    <x:col min="7" max="7" width="22" hidden="0" customWidth="1"/>
    <x:col min="8" max="8" width="72" hidden="0" customWidth="1"/>
    <x:col min="9" max="9" width="58" hidden="0" customWidth="1"/>
  </x:cols>
  <x:sheetData>
    <x:row r="1" ht="30" customHeight="1">
      <x:c r="A1" s="111" t="str">
        <x:v>Sources and Audit Trail</x:v>
      </x:c>
      <x:c r="B1" s="111"/>
      <x:c r="C1" s="111"/>
      <x:c r="D1" s="111"/>
      <x:c r="E1" s="111"/>
      <x:c r="F1" s="111"/>
      <x:c r="G1" s="111"/>
      <x:c r="H1" s="111"/>
      <x:c r="I1" s="111"/>
    </x:row>
    <x:row r="2" ht="30" customHeight="1">
      <x:c r="A2" s="111"/>
      <x:c r="B2" s="111"/>
      <x:c r="C2" s="111"/>
      <x:c r="D2" s="111"/>
      <x:c r="E2" s="111"/>
      <x:c r="F2" s="111"/>
      <x:c r="G2" s="111"/>
      <x:c r="H2" s="111"/>
      <x:c r="I2" s="111"/>
    </x:row>
    <x:row r="3">
      <x:c r="A3" s="112"/>
      <x:c r="B3" s="112"/>
      <x:c r="C3" s="112"/>
      <x:c r="D3" s="112"/>
      <x:c r="E3" s="112"/>
      <x:c r="F3" s="112"/>
      <x:c r="G3" s="112"/>
      <x:c r="H3" s="112"/>
      <x:c r="I3" s="112"/>
    </x:row>
    <x:row r="4">
      <x:c r="A4" s="143" t="str">
        <x:v>Source ID</x:v>
      </x:c>
      <x:c r="B4" s="144" t="str">
        <x:v>Item</x:v>
      </x:c>
      <x:c r="C4" s="144" t="str">
        <x:v>Value / finding</x:v>
      </x:c>
      <x:c r="D4" s="144" t="str">
        <x:v>Units</x:v>
      </x:c>
      <x:c r="E4" s="144" t="str">
        <x:v>As of</x:v>
      </x:c>
      <x:c r="F4" s="144" t="str">
        <x:v>Evidence class</x:v>
      </x:c>
      <x:c r="G4" s="144" t="str">
        <x:v>Source name</x:v>
      </x:c>
      <x:c r="H4" s="144" t="str">
        <x:v>URL</x:v>
      </x:c>
      <x:c r="I4" s="145" t="str">
        <x:v>Model use / caveat</x:v>
      </x:c>
    </x:row>
    <x:row r="5">
      <x:c r="A5" s="168" t="str">
        <x:v>S01</x:v>
      </x:c>
      <x:c r="B5" s="168" t="str">
        <x:v>DDC Nepalgunj scheme</x:v>
      </x:c>
      <x:c r="C5" s="168" t="str">
        <x:v>Bardiya work area; Bhurigaun 1,000 L and Sanoshree 3,000 L chilling centres; scheme collects 4–5k L/day lean and 12–14k L/day flush</x:v>
      </x:c>
      <x:c r="D5" s="168" t="str">
        <x:v>capacity/context</x:v>
      </x:c>
      <x:c r="E5" s="168" t="str">
        <x:v>2026-08-15</x:v>
      </x:c>
      <x:c r="F5" s="168" t="str">
        <x:v>CONFIRMED — official</x:v>
      </x:c>
      <x:c r="G5" s="168" t="str">
        <x:v>Dairy Development Corporation</x:v>
      </x:c>
      <x:c r="H5" s="168" t="str">
        <x:v>https://ddc.gov.np/projects/nmss</x:v>
      </x:c>
      <x:c r="I5" s="168" t="str">
        <x:v>Buyer lead only; not a written farm offer</x:v>
      </x:c>
    </x:row>
    <x:row r="6">
      <x:c r="A6" s="168" t="str">
        <x:v>S02</x:v>
      </x:c>
      <x:c r="B6" s="168" t="str">
        <x:v>Livestock premium subsidy</x:v>
      </x:c>
      <x:c r="C6" s="168" t="str">
        <x:v>80% &lt;= NPR 50 lakh; 65% NPR 50 lakh–1 crore; 50% &gt; NPR 1 crore insured value</x:v>
      </x:c>
      <x:c r="D6" s="168" t="str">
        <x:v>% premium</x:v>
      </x:c>
      <x:c r="E6" s="168" t="str">
        <x:v>2082 procedure</x:v>
      </x:c>
      <x:c r="F6" s="168" t="str">
        <x:v>CONFIRMED — official</x:v>
      </x:c>
      <x:c r="G6" s="168" t="str">
        <x:v>MoALD / Agriculture Diary 2083</x:v>
      </x:c>
      <x:c r="H6" s="168" t="str">
        <x:v>https://aitc.gov.np/uploads/documents/agriculture-diary-2083-final-2083-01-3-webpdf-5908-955-1776340666.pdf</x:v>
      </x:c>
      <x:c r="I6" s="168" t="str">
        <x:v>Eligibility and reimbursement timing still require insurer confirmation</x:v>
      </x:c>
    </x:row>
    <x:row r="7">
      <x:c r="A7" s="168" t="str">
        <x:v>S03</x:v>
      </x:c>
      <x:c r="B7" s="168" t="str">
        <x:v>Concessional agriculture/livestock loan</x:v>
      </x:c>
      <x:c r="C7" s="168" t="str">
        <x:v>Up to NPR 5 crore; rate capped at base +1.5%; 3% interest subsidy up to 5 years</x:v>
      </x:c>
      <x:c r="D7" s="168" t="str">
        <x:v>loan terms framework</x:v>
      </x:c>
      <x:c r="E7" s="168" t="str">
        <x:v>2026-08-13</x:v>
      </x:c>
      <x:c r="F7" s="168" t="str">
        <x:v>CONFIRMED — official</x:v>
      </x:c>
      <x:c r="G7" s="168" t="str">
        <x:v>Nepal Rastra Bank</x:v>
      </x:c>
      <x:c r="H7" s="168" t="str">
        <x:v>https://www.nrb.org.np/bfr/%E0%A4%B8%E0%A5%82%E0%A4%9A%E0%A4%A8%E0%A4%BE-%E0%A4%A8%E0%A4%82-%E0%A5%A8-%E0%A5%A6%E0%A5%AE%E0%A5%A9-%E0%A5%AE%E0%A5%84-%E0%A4%B8%E0%A4%B9%E0%A5%81%E0%A4%B2%E0%A4%BF%E0%A4%AF%E0%A4%A4/</x:v>
      </x:c>
      <x:c r="I7" s="168" t="str">
        <x:v>Bank underwriting/collateral still controls; excluded from Base/Downside benefit</x:v>
      </x:c>
    </x:row>
    <x:row r="8">
      <x:c r="A8" s="168" t="str">
        <x:v>S04</x:v>
      </x:c>
      <x:c r="B8" s="168" t="str">
        <x:v>ADBL base rate</x:v>
      </x:c>
      <x:c r="C8" s="168" t="str">
        <x:v>4.56</x:v>
      </x:c>
      <x:c r="D8" s="168" t="str">
        <x:v>%</x:v>
      </x:c>
      <x:c r="E8" s="168" t="str">
        <x:v>Ashadh-end 2083</x:v>
      </x:c>
      <x:c r="F8" s="168" t="str">
        <x:v>CONFIRMED — official</x:v>
      </x:c>
      <x:c r="G8" s="168" t="str">
        <x:v>Agricultural Development Bank</x:v>
      </x:c>
      <x:c r="H8" s="168" t="str">
        <x:v>https://adbl.gov.np/en/base-rate</x:v>
      </x:c>
      <x:c r="I8" s="168" t="str">
        <x:v>Screening benchmark</x:v>
      </x:c>
    </x:row>
    <x:row r="9">
      <x:c r="A9" s="168" t="str">
        <x:v>S05</x:v>
      </x:c>
      <x:c r="B9" s="168" t="str">
        <x:v>ADBL agriculture term premium</x:v>
      </x:c>
      <x:c r="C9" s="168" t="str">
        <x:v>Up to 2.5</x:v>
      </x:c>
      <x:c r="D9" s="168" t="str">
        <x:v>% over base</x:v>
      </x:c>
      <x:c r="E9" s="168" t="str">
        <x:v>Shrawan 1, 2083</x:v>
      </x:c>
      <x:c r="F9" s="168" t="str">
        <x:v>CONFIRMED — official</x:v>
      </x:c>
      <x:c r="G9" s="168" t="str">
        <x:v>Agricultural Development Bank</x:v>
      </x:c>
      <x:c r="H9" s="168" t="str">
        <x:v>https://adbl.gov.np/en/interest-rate/interest-rates-effective-from-shrawan-01-2083-17-july-2026</x:v>
      </x:c>
      <x:c r="I9" s="168" t="str">
        <x:v>Specific sanction may differ; current concessional framework cap is tighter</x:v>
      </x:c>
    </x:row>
    <x:row r="10">
      <x:c r="A10" s="168" t="str">
        <x:v>S06</x:v>
      </x:c>
      <x:c r="B10" s="168" t="str">
        <x:v>Lumbini FY2083/84 budget</x:v>
      </x:c>
      <x:c r="C10" s="168" t="str">
        <x:v>Cow/buffalo included in intensive commercial value-chain development; NPR 2.33 crore programme envelope</x:v>
      </x:c>
      <x:c r="D10" s="168" t="str">
        <x:v>programme budget</x:v>
      </x:c>
      <x:c r="E10" s="168" t="str">
        <x:v>FY2083/84</x:v>
      </x:c>
      <x:c r="F10" s="168" t="str">
        <x:v>CONFIRMED — official</x:v>
      </x:c>
      <x:c r="G10" s="168" t="str">
        <x:v>Lumbini Ministry of Economic Affairs and Planning</x:v>
      </x:c>
      <x:c r="H10" s="168" t="str">
        <x:v>https://moeap.lumbini.gov.np/media/budgets/budget.pdf</x:v>
      </x:c>
      <x:c r="I10" s="168" t="str">
        <x:v>Programme budget is not an open farm award</x:v>
      </x:c>
    </x:row>
    <x:row r="11">
      <x:c r="A11" s="168" t="str">
        <x:v>S07</x:v>
      </x:c>
      <x:c r="B11" s="168" t="str">
        <x:v>Badhaiyatal climate context</x:v>
      </x:c>
      <x:c r="C11" s="168" t="str">
        <x:v>Historical maximum 42.2 C; elevation 143–157 m</x:v>
      </x:c>
      <x:c r="D11" s="168" t="str">
        <x:v>site context</x:v>
      </x:c>
      <x:c r="E11" s="168" t="str">
        <x:v>municipal profile</x:v>
      </x:c>
      <x:c r="F11" s="168" t="str">
        <x:v>CONFIRMED — official</x:v>
      </x:c>
      <x:c r="G11" s="168" t="str">
        <x:v>Badhaiyatal Rural Municipality</x:v>
      </x:c>
      <x:c r="H11" s="168" t="str">
        <x:v>https://badhaiyatalmun.gov.np/</x:v>
      </x:c>
      <x:c r="I11" s="168" t="str">
        <x:v>Requires site heat-load design and current climate data</x:v>
      </x:c>
    </x:row>
    <x:row r="12">
      <x:c r="A12" s="168" t="str">
        <x:v>S08</x:v>
      </x:c>
      <x:c r="B12" s="168" t="str">
        <x:v>Bardiya groundwater irrigation context</x:v>
      </x:c>
      <x:c r="C12" s="168" t="str">
        <x:v>46,900 ha potential; 17,635 ha developed in cited national groundwater plan</x:v>
      </x:c>
      <x:c r="D12" s="168" t="str">
        <x:v>district context</x:v>
      </x:c>
      <x:c r="E12" s="168" t="str">
        <x:v>publication benchmark</x:v>
      </x:c>
      <x:c r="F12" s="168" t="str">
        <x:v>BENCHMARK — official</x:v>
      </x:c>
      <x:c r="G12" s="168" t="str">
        <x:v>Department of Water Resources and Irrigation</x:v>
      </x:c>
      <x:c r="H12" s="168" t="str">
        <x:v>https://www.dwri.gov.np/files/notice/20210805070907.pdf</x:v>
      </x:c>
      <x:c r="I12" s="168" t="str">
        <x:v>Does not prove bore yield or irrigation at candidate site</x:v>
      </x:c>
    </x:row>
    <x:row r="13">
      <x:c r="A13" s="168" t="str">
        <x:v>S09</x:v>
      </x:c>
      <x:c r="B13" s="168" t="str">
        <x:v>Bardiya milk-value-chain leads</x:v>
      </x:c>
      <x:c r="C13" s="168" t="str">
        <x:v>Bhagawati MPC Badhaiya, DDC Kohalpur, Anupam Dairy and cooperative routes identified historically</x:v>
      </x:c>
      <x:c r="D13" s="168" t="str">
        <x:v>lead list</x:v>
      </x:c>
      <x:c r="E13" s="168" t="str">
        <x:v>2019 study</x:v>
      </x:c>
      <x:c r="F13" s="168" t="str">
        <x:v>BENCHMARK — dated</x:v>
      </x:c>
      <x:c r="G13" s="168" t="str">
        <x:v>LI-BIRD</x:v>
      </x:c>
      <x:c r="H13" s="168" t="str">
        <x:v>https://libird.org/wp-content/uploads/2022/04/Diary-Value-Chain-Report.pdf</x:v>
      </x:c>
      <x:c r="I13" s="168" t="str">
        <x:v>Revalidate existence, capacity, price and payment reliability</x:v>
      </x:c>
    </x:row>
    <x:row r="14">
      <x:c r="A14" s="168" t="str">
        <x:v>S10</x:v>
      </x:c>
      <x:c r="B14" s="168" t="str">
        <x:v>Cattle genetics/breeding network</x:v>
      </x:c>
      <x:c r="C14" s="168" t="str">
        <x:v>NLBO lists current Holstein and Jersey pedigrees and PPRS sources</x:v>
      </x:c>
      <x:c r="D14" s="168" t="str">
        <x:v>source leads</x:v>
      </x:c>
      <x:c r="E14" s="168" t="str">
        <x:v>2026-08</x:v>
      </x:c>
      <x:c r="F14" s="168" t="str">
        <x:v>CONFIRMED — official</x:v>
      </x:c>
      <x:c r="G14" s="168" t="str">
        <x:v>National Livestock Breeding Office</x:v>
      </x:c>
      <x:c r="H14" s="168" t="str">
        <x:v>https://nlbo.gov.np/bull-group/1/2021/71411744/</x:v>
      </x:c>
      <x:c r="I14" s="168" t="str">
        <x:v>Not a live-animal supplier quotation</x:v>
      </x:c>
    </x:row>
    <x:row r="15">
      <x:c r="A15" s="168" t="str">
        <x:v>S11</x:v>
      </x:c>
      <x:c r="B15" s="168" t="str">
        <x:v>Bardiya veterinary/lab services</x:v>
      </x:c>
      <x:c r="C15" s="168" t="str">
        <x:v>Cattle/buffalo treatment and laboratory services published</x:v>
      </x:c>
      <x:c r="D15" s="168" t="str">
        <x:v>service context</x:v>
      </x:c>
      <x:c r="E15" s="168" t="str">
        <x:v>2083</x:v>
      </x:c>
      <x:c r="F15" s="168" t="str">
        <x:v>CONFIRMED — official</x:v>
      </x:c>
      <x:c r="G15" s="168" t="str">
        <x:v>Integrated Agriculture &amp; Livestock Development Office, Bardiya</x:v>
      </x:c>
      <x:c r="H15" s="168" t="str">
        <x:v>https://ialdobardiya.lumbini.gov.np/officeDetail/citizen-charter?language=en</x:v>
      </x:c>
      <x:c r="I15" s="168" t="str">
        <x:v>Confirm pre-purchase test availability and turnaround</x:v>
      </x:c>
    </x:row>
    <x:row r="16">
      <x:c r="A16" s="168" t="str">
        <x:v>S12</x:v>
      </x:c>
      <x:c r="B16" s="168" t="str">
        <x:v>Animal welfare standard</x:v>
      </x:c>
      <x:c r="C16" s="168" t="str">
        <x:v>Commercial cow/buffalo welfare standard 2080 listed as active</x:v>
      </x:c>
      <x:c r="D16" s="168" t="str">
        <x:v>design requirement</x:v>
      </x:c>
      <x:c r="E16" s="168" t="str">
        <x:v>2080/current listing</x:v>
      </x:c>
      <x:c r="F16" s="168" t="str">
        <x:v>CONFIRMED — official</x:v>
      </x:c>
      <x:c r="G16" s="168" t="str">
        <x:v>Lumbini Directorate of Livestock and Fisheries</x:v>
      </x:c>
      <x:c r="H16" s="168" t="str">
        <x:v>https://dolfd.lumbini.gov.np/</x:v>
      </x:c>
      <x:c r="I16" s="168" t="str">
        <x:v>Engineer must extract dimensions and certify compliance</x:v>
      </x:c>
    </x:row>
    <x:row r="17">
      <x:c r="A17" s="168" t="str">
        <x:v>S13</x:v>
      </x:c>
      <x:c r="B17" s="168" t="str">
        <x:v>Milk price</x:v>
      </x:c>
      <x:c r="C17" s="168" t="str">
        <x:v>65</x:v>
      </x:c>
      <x:c r="D17" s="168" t="str">
        <x:v>NPR/L</x:v>
      </x:c>
      <x:c r="E17" s="168" t="str">
        <x:v>repository benchmark</x:v>
      </x:c>
      <x:c r="F17" s="168" t="str">
        <x:v>BENCHMARK</x:v>
      </x:c>
      <x:c r="G17" s="168" t="str">
        <x:v>National Dairy Development Board</x:v>
      </x:c>
      <x:c r="H17" s="168" t="str">
        <x:v>https://nddb.gov.np/pages/minimum-price-of-raw-milk/</x:v>
      </x:c>
      <x:c r="I17" s="168" t="str">
        <x:v>Replace with buyer-specific fat/SNF formula</x:v>
      </x:c>
    </x:row>
  </x:sheetData>
  <x:mergeCells>
    <x:mergeCell ref="A1:I2"/>
  </x:mergeCells>
  <x:pageMargins left="0.7" right="0.7" top="0.75" bottom="0.75" header="0.3" footer="0.3"/>
</x:worksheet>
</file>